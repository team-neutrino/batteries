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niemi/Downloads/"/>
    </mc:Choice>
  </mc:AlternateContent>
  <xr:revisionPtr revIDLastSave="0" documentId="8_{8B48520A-65C7-A24A-80DA-0C247E0232EC}" xr6:coauthVersionLast="47" xr6:coauthVersionMax="47" xr10:uidLastSave="{00000000-0000-0000-0000-000000000000}"/>
  <bookViews>
    <workbookView xWindow="0" yWindow="740" windowWidth="29400" windowHeight="18380" activeTab="3" xr2:uid="{00000000-000D-0000-FFFF-FFFF00000000}"/>
  </bookViews>
  <sheets>
    <sheet name="Battery Test Results" sheetId="1" r:id="rId1"/>
    <sheet name="New Batteries" sheetId="2" r:id="rId2"/>
    <sheet name="Old Batteries" sheetId="3" r:id="rId3"/>
    <sheet name="Metadata" sheetId="4" r:id="rId4"/>
    <sheet name="Battery Comparisons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" i="5" l="1"/>
  <c r="R6" i="5"/>
  <c r="Q6" i="5"/>
  <c r="P6" i="5"/>
  <c r="O6" i="5"/>
  <c r="N6" i="5"/>
  <c r="M6" i="5"/>
  <c r="L6" i="5"/>
  <c r="L13" i="5" s="1"/>
  <c r="K6" i="5"/>
  <c r="S5" i="5"/>
  <c r="R5" i="5"/>
  <c r="Q5" i="5"/>
  <c r="P5" i="5"/>
  <c r="O5" i="5"/>
  <c r="N5" i="5"/>
  <c r="M5" i="5"/>
  <c r="M12" i="5" s="1"/>
  <c r="L5" i="5"/>
  <c r="K5" i="5"/>
  <c r="S4" i="5"/>
  <c r="R4" i="5"/>
  <c r="Q4" i="5"/>
  <c r="P4" i="5"/>
  <c r="O4" i="5"/>
  <c r="N4" i="5"/>
  <c r="N11" i="5" s="1"/>
  <c r="M4" i="5"/>
  <c r="L4" i="5"/>
  <c r="K4" i="5"/>
  <c r="S3" i="5"/>
  <c r="R3" i="5"/>
  <c r="Q3" i="5"/>
  <c r="P3" i="5"/>
  <c r="O3" i="5"/>
  <c r="O9" i="5" s="1"/>
  <c r="N3" i="5"/>
  <c r="M3" i="5"/>
  <c r="L3" i="5"/>
  <c r="K3" i="5"/>
  <c r="S2" i="5"/>
  <c r="R2" i="5"/>
  <c r="Q2" i="5"/>
  <c r="P2" i="5"/>
  <c r="P8" i="5" s="1"/>
  <c r="O2" i="5"/>
  <c r="N2" i="5"/>
  <c r="M2" i="5"/>
  <c r="L2" i="5"/>
  <c r="K2" i="5"/>
  <c r="Q8" i="5" l="1"/>
  <c r="N12" i="5"/>
  <c r="R8" i="5"/>
  <c r="P11" i="5"/>
  <c r="S8" i="5"/>
  <c r="O13" i="5"/>
  <c r="R11" i="5"/>
  <c r="P13" i="5"/>
  <c r="L9" i="5"/>
  <c r="R12" i="5"/>
  <c r="Q13" i="5"/>
  <c r="P9" i="5"/>
  <c r="M13" i="5"/>
  <c r="O12" i="5"/>
  <c r="K8" i="5"/>
  <c r="Q11" i="5"/>
  <c r="L8" i="5"/>
  <c r="Q12" i="5"/>
  <c r="M8" i="5"/>
  <c r="S11" i="5"/>
  <c r="N8" i="5"/>
  <c r="L11" i="5"/>
  <c r="K12" i="5"/>
  <c r="S12" i="5"/>
  <c r="R13" i="5"/>
  <c r="O11" i="5"/>
  <c r="Q9" i="5"/>
  <c r="N13" i="5"/>
  <c r="R9" i="5"/>
  <c r="P12" i="5"/>
  <c r="K9" i="5"/>
  <c r="S9" i="5"/>
  <c r="K11" i="5"/>
  <c r="M9" i="5"/>
  <c r="O8" i="5"/>
  <c r="N9" i="5"/>
  <c r="M11" i="5"/>
  <c r="L12" i="5"/>
  <c r="K13" i="5"/>
  <c r="S1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tc={96a46b91-2cdd-4f43-b30c-00b5ba9b105c}</author>
  </authors>
  <commentList>
    <comment ref="A1" authorId="0" shapeId="0" xr:uid="{96A46B91-2CDD-4F43-B30C-00B5BA9B105C}">
      <text>
        <t>[Threaded comment]
Your version of Excel allows you to read this threaded comment; however, any edits to it will get removed if the file is opened in a newer version of Excel. Learn more: https://go.microsoft.com/fwlink/?linkid=870924
Comment:
    Charging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tc={b59a2b3a-e55d-4f58-9e1b-0ddcc43bbdf3}</author>
  </authors>
  <commentList>
    <comment ref="B40" authorId="0" shapeId="0" xr:uid="{B59A2B3A-E55D-4F58-9E1B-0DDCC43BBDF3}">
      <text>
        <t>[Threaded comment]
Your version of Excel allows you to read this threaded comment; however, any edits to it will get removed if the file is opened in a newer version of Excel. Learn more: https://go.microsoft.com/fwlink/?linkid=870924
Comment:
    Outlier?</t>
      </text>
    </comment>
  </commentList>
</comments>
</file>

<file path=xl/sharedStrings.xml><?xml version="1.0" encoding="utf-8"?>
<sst xmlns="http://schemas.openxmlformats.org/spreadsheetml/2006/main" count="462" uniqueCount="83">
  <si>
    <t>Battery Name</t>
  </si>
  <si>
    <t>Test Date</t>
  </si>
  <si>
    <t xml:space="preserve">Capacity Ah </t>
  </si>
  <si>
    <t>Capacity Wh</t>
  </si>
  <si>
    <t>Resistance (mOhms)</t>
  </si>
  <si>
    <t>V0</t>
  </si>
  <si>
    <t>V2</t>
  </si>
  <si>
    <t>Comments</t>
  </si>
  <si>
    <t>Gnocchi</t>
  </si>
  <si>
    <t>Penne</t>
  </si>
  <si>
    <t>Macaroni</t>
  </si>
  <si>
    <t>Bowtie</t>
  </si>
  <si>
    <t>Jumpy</t>
  </si>
  <si>
    <t>Lasagna</t>
  </si>
  <si>
    <t>Ravioli</t>
  </si>
  <si>
    <t>Charging</t>
  </si>
  <si>
    <t>Shellatoni</t>
  </si>
  <si>
    <t>Tortellini</t>
  </si>
  <si>
    <t>So Much Variation</t>
  </si>
  <si>
    <t>Also Noisy!</t>
  </si>
  <si>
    <t>Very Clean</t>
  </si>
  <si>
    <t>Smooth</t>
  </si>
  <si>
    <t>A Little Jumpy</t>
  </si>
  <si>
    <t>Very Jumpy</t>
  </si>
  <si>
    <t>Smooth-ish</t>
  </si>
  <si>
    <t>Some Jumping Around</t>
  </si>
  <si>
    <t>Very Jumpy at Beginning</t>
  </si>
  <si>
    <t>VERY JUMPY</t>
  </si>
  <si>
    <t>Jumpy at first, then smooth</t>
  </si>
  <si>
    <t>Not Too Jumpy</t>
  </si>
  <si>
    <t>Better, but sometimes jumps</t>
  </si>
  <si>
    <t>Adjusted the tester connector</t>
  </si>
  <si>
    <t>Much better, still some jump</t>
  </si>
  <si>
    <t>Still Jumpy</t>
  </si>
  <si>
    <t>Smooth As Silk</t>
  </si>
  <si>
    <t>Snap</t>
  </si>
  <si>
    <t>Big Jumps</t>
  </si>
  <si>
    <t>Little Bluestem</t>
  </si>
  <si>
    <t>Tall Fescue</t>
  </si>
  <si>
    <t>Might need to test again</t>
  </si>
  <si>
    <t>Miscanthus</t>
  </si>
  <si>
    <t>Smooth, Smooth</t>
  </si>
  <si>
    <t>KentuckyBG</t>
  </si>
  <si>
    <t>Pop</t>
  </si>
  <si>
    <t>Some Jump</t>
  </si>
  <si>
    <t>Alfabeto</t>
  </si>
  <si>
    <t>Went very low at beginning, smooth</t>
  </si>
  <si>
    <t>Crackle</t>
  </si>
  <si>
    <t>Dropped down at beginning, then recovered, a little jumpy at end</t>
  </si>
  <si>
    <t>Zoysia</t>
  </si>
  <si>
    <t>Dipped down at first and stopped 1st test</t>
  </si>
  <si>
    <t>Jerk</t>
  </si>
  <si>
    <t>Dropped down and stopped first and second test. Third test was ok.</t>
  </si>
  <si>
    <t>Lock</t>
  </si>
  <si>
    <t>Dropped down at beginning to 12.2</t>
  </si>
  <si>
    <t>Drop</t>
  </si>
  <si>
    <t>Mostly Smooth</t>
  </si>
  <si>
    <t>Little Jumpy</t>
  </si>
  <si>
    <t>Very, Very Jumpy</t>
  </si>
  <si>
    <t>Some Step</t>
  </si>
  <si>
    <t>Just a Little Jumpy</t>
  </si>
  <si>
    <t>Generally Smooth</t>
  </si>
  <si>
    <t>Very Jumpy @ beginning</t>
  </si>
  <si>
    <t>Capacity Ah / Wh</t>
  </si>
  <si>
    <t>N/A</t>
  </si>
  <si>
    <t>Very Jumpy @ Beginning</t>
  </si>
  <si>
    <t>New-Old</t>
  </si>
  <si>
    <t>Purchase Date</t>
  </si>
  <si>
    <t>Brand</t>
  </si>
  <si>
    <t>New</t>
  </si>
  <si>
    <t>Old</t>
  </si>
  <si>
    <t>Round</t>
  </si>
  <si>
    <t>AH</t>
  </si>
  <si>
    <t>WH</t>
  </si>
  <si>
    <t>RES</t>
  </si>
  <si>
    <t>Battery Name:</t>
  </si>
  <si>
    <t>Average AH</t>
  </si>
  <si>
    <t>Average WH</t>
  </si>
  <si>
    <t>Average RES</t>
  </si>
  <si>
    <t>Average V0</t>
  </si>
  <si>
    <t>Average V2</t>
  </si>
  <si>
    <t>FEATURE</t>
  </si>
  <si>
    <t>rRES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</si>
</sst>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&quot;-&quot;mm&quot;-&quot;dd"/>
    <numFmt numFmtId="165" formatCode="0.000"/>
    <numFmt numFmtId="166" formatCode="m/d/yy"/>
  </numFmts>
  <fonts count="12" x14ac:knownFonts="1">
    <font>
      <sz val="10"/>
      <color rgb="FF000000"/>
      <name val="Arial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9"/>
      <color theme="1"/>
      <name val="Arial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4125"/>
        <bgColor rgb="FFCC4125"/>
      </patternFill>
    </fill>
  </fills>
  <borders count="22">
    <border>
      <left/>
      <right/>
      <top/>
      <bottom/>
      <diagonal/>
    </border>
    <border>
      <left style="thick">
        <color rgb="FF000000"/>
      </left>
      <right/>
      <top/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 style="medium">
        <color rgb="FF000000"/>
      </left>
      <right/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0" borderId="1" xfId="0" applyFont="1" applyBorder="1"/>
    <xf numFmtId="0" fontId="2" fillId="0" borderId="2" xfId="0" applyFont="1" applyBorder="1"/>
    <xf numFmtId="164" fontId="2" fillId="0" borderId="2" xfId="0" applyNumberFormat="1" applyFont="1" applyBorder="1"/>
    <xf numFmtId="165" fontId="2" fillId="0" borderId="2" xfId="0" applyNumberFormat="1" applyFont="1" applyBorder="1"/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/>
    <xf numFmtId="0" fontId="5" fillId="0" borderId="0" xfId="0" applyFont="1" applyAlignment="1">
      <alignment horizontal="right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4" xfId="0" applyFont="1" applyBorder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0" fontId="1" fillId="0" borderId="2" xfId="0" applyFont="1" applyBorder="1"/>
    <xf numFmtId="0" fontId="1" fillId="0" borderId="3" xfId="0" applyFont="1" applyBorder="1"/>
    <xf numFmtId="166" fontId="2" fillId="0" borderId="0" xfId="0" applyNumberFormat="1" applyFont="1"/>
    <xf numFmtId="166" fontId="5" fillId="0" borderId="0" xfId="0" applyNumberFormat="1" applyFont="1" applyAlignment="1">
      <alignment horizontal="right"/>
    </xf>
    <xf numFmtId="0" fontId="3" fillId="0" borderId="1" xfId="0" applyFont="1" applyBorder="1"/>
    <xf numFmtId="0" fontId="2" fillId="2" borderId="0" xfId="0" applyFont="1" applyFill="1"/>
    <xf numFmtId="166" fontId="2" fillId="2" borderId="0" xfId="0" applyNumberFormat="1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/>
    <xf numFmtId="0" fontId="10" fillId="2" borderId="1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" fillId="0" borderId="5" xfId="0" applyFont="1" applyBorder="1"/>
    <xf numFmtId="0" fontId="1" fillId="0" borderId="6" xfId="0" applyFont="1" applyBorder="1"/>
    <xf numFmtId="0" fontId="1" fillId="0" borderId="8" xfId="0" applyFont="1" applyBorder="1"/>
    <xf numFmtId="0" fontId="1" fillId="0" borderId="9" xfId="0" applyFont="1" applyBorder="1"/>
    <xf numFmtId="0" fontId="4" fillId="0" borderId="13" xfId="0" applyFont="1" applyBorder="1"/>
    <xf numFmtId="0" fontId="4" fillId="0" borderId="14" xfId="0" applyFont="1" applyBorder="1"/>
    <xf numFmtId="0" fontId="4" fillId="0" borderId="15" xfId="0" applyFont="1" applyBorder="1"/>
    <xf numFmtId="2" fontId="4" fillId="0" borderId="0" xfId="0" applyNumberFormat="1" applyFont="1"/>
    <xf numFmtId="0" fontId="4" fillId="0" borderId="18" xfId="0" applyFont="1" applyBorder="1"/>
    <xf numFmtId="0" fontId="4" fillId="0" borderId="19" xfId="0" applyFont="1" applyBorder="1"/>
    <xf numFmtId="0" fontId="4" fillId="0" borderId="20" xfId="0" applyFont="1" applyBorder="1"/>
    <xf numFmtId="0" fontId="4" fillId="0" borderId="21" xfId="0" applyFont="1" applyBorder="1"/>
    <xf numFmtId="0" fontId="1" fillId="0" borderId="16" xfId="0" applyFont="1" applyBorder="1" applyAlignment="1">
      <alignment horizontal="center" vertical="center"/>
    </xf>
    <xf numFmtId="0" fontId="4" fillId="0" borderId="12" xfId="0" applyFont="1" applyBorder="1"/>
    <xf numFmtId="0" fontId="4" fillId="0" borderId="13" xfId="0" applyFont="1" applyBorder="1" applyAlignment="1">
      <alignment horizontal="right"/>
    </xf>
    <xf numFmtId="0" fontId="3" fillId="0" borderId="1" xfId="0" applyFont="1" applyBorder="1" applyAlignment="1">
      <alignment horizontal="center" vertical="center"/>
    </xf>
    <xf numFmtId="0" fontId="0" fillId="0" borderId="0" xfId="0"/>
    <xf numFmtId="0" fontId="2" fillId="0" borderId="0" xfId="0" applyFont="1"/>
    <xf numFmtId="0" fontId="5" fillId="0" borderId="0" xfId="0" applyFont="1" applyAlignment="1">
      <alignment horizontal="right"/>
    </xf>
    <xf numFmtId="0" fontId="1" fillId="0" borderId="2" xfId="0" applyFont="1" applyBorder="1"/>
    <xf numFmtId="0" fontId="11" fillId="0" borderId="2" xfId="0" applyFont="1" applyBorder="1"/>
    <xf numFmtId="0" fontId="5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0" fontId="2" fillId="2" borderId="0" xfId="0" applyFont="1" applyFill="1"/>
    <xf numFmtId="0" fontId="3" fillId="0" borderId="15" xfId="0" applyFont="1" applyBorder="1"/>
    <xf numFmtId="0" fontId="4" fillId="0" borderId="0" xfId="0" applyFont="1"/>
    <xf numFmtId="0" fontId="11" fillId="0" borderId="12" xfId="0" applyFont="1" applyBorder="1"/>
    <xf numFmtId="0" fontId="1" fillId="0" borderId="6" xfId="0" applyFont="1" applyBorder="1"/>
    <xf numFmtId="0" fontId="11" fillId="0" borderId="7" xfId="0" applyFont="1" applyBorder="1"/>
    <xf numFmtId="0" fontId="1" fillId="0" borderId="10" xfId="0" applyFont="1" applyBorder="1"/>
    <xf numFmtId="0" fontId="11" fillId="0" borderId="6" xfId="0" applyFont="1" applyBorder="1"/>
    <xf numFmtId="0" fontId="1" fillId="0" borderId="11" xfId="0" applyFont="1" applyBorder="1" applyAlignment="1">
      <alignment horizontal="center" vertical="center"/>
    </xf>
    <xf numFmtId="0" fontId="11" fillId="0" borderId="11" xfId="0" applyFont="1" applyBorder="1"/>
    <xf numFmtId="0" fontId="11" fillId="0" borderId="16" xfId="0" applyFont="1" applyBorder="1"/>
    <xf numFmtId="0" fontId="4" fillId="0" borderId="17" xfId="0" applyFont="1" applyBorder="1"/>
    <xf numFmtId="0" fontId="11" fillId="0" borderId="19" xfId="0" applyFont="1" applyBorder="1"/>
    <xf numFmtId="0" fontId="11" fillId="0" borderId="1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chemeClr val="dk1"/>
                </a:solidFill>
                <a:latin typeface="+mn-lt"/>
              </a:defRPr>
            </a:pPr>
            <a:r>
              <a:rPr b="0">
                <a:solidFill>
                  <a:schemeClr val="dk1"/>
                </a:solidFill>
                <a:latin typeface="+mn-lt"/>
              </a:rPr>
              <a:t>Radial Battery Chart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'Battery Comparisons'!$L$7</c:f>
              <c:strCache>
                <c:ptCount val="1"/>
                <c:pt idx="0">
                  <c:v>Gnocchi</c:v>
                </c:pt>
              </c:strCache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  <c:strCache>
                <c:ptCount val="6"/>
                <c:pt idx="0">
                  <c:v>AH</c:v>
                </c:pt>
                <c:pt idx="1">
                  <c:v>WH</c:v>
                </c:pt>
                <c:pt idx="3">
                  <c:v>rRES</c:v>
                </c:pt>
                <c:pt idx="4">
                  <c:v>V0</c:v>
                </c:pt>
                <c:pt idx="5">
                  <c:v>V2</c:v>
                </c:pt>
              </c:strCache>
            </c:strRef>
          </c:cat>
          <c:val>
            <c:numRef>
              <c:f>'Battery Comparisons'!$L$8:$L$13</c:f>
              <c:numCache>
                <c:formatCode>0.00</c:formatCode>
                <c:ptCount val="6"/>
                <c:pt idx="0">
                  <c:v>0.7214484679665738</c:v>
                </c:pt>
                <c:pt idx="1">
                  <c:v>0.72172007669131721</c:v>
                </c:pt>
                <c:pt idx="3">
                  <c:v>0.45208333333333361</c:v>
                </c:pt>
                <c:pt idx="4">
                  <c:v>1</c:v>
                </c:pt>
                <c:pt idx="5">
                  <c:v>0.94915254237287938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55-2A48-AFC2-10656DC430D8}"/>
            </c:ext>
          </c:extLst>
        </c:ser>
        <c:ser>
          <c:idx val="1"/>
          <c:order val="1"/>
          <c:tx>
            <c:strRef>
              <c:f>'Battery Comparisons'!$M$7</c:f>
              <c:strCache>
                <c:ptCount val="1"/>
                <c:pt idx="0">
                  <c:v>Lasagna</c:v>
                </c:pt>
              </c:strCache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  <c:strCache>
                <c:ptCount val="6"/>
                <c:pt idx="0">
                  <c:v>AH</c:v>
                </c:pt>
                <c:pt idx="1">
                  <c:v>WH</c:v>
                </c:pt>
                <c:pt idx="3">
                  <c:v>rRES</c:v>
                </c:pt>
                <c:pt idx="4">
                  <c:v>V0</c:v>
                </c:pt>
                <c:pt idx="5">
                  <c:v>V2</c:v>
                </c:pt>
              </c:strCache>
            </c:strRef>
          </c:cat>
          <c:val>
            <c:numRef>
              <c:f>'Battery Comparisons'!$M$8:$M$13</c:f>
              <c:numCache>
                <c:formatCode>0.00</c:formatCode>
                <c:ptCount val="6"/>
                <c:pt idx="0">
                  <c:v>0.65181058495821731</c:v>
                </c:pt>
                <c:pt idx="1">
                  <c:v>0.76143522322651314</c:v>
                </c:pt>
                <c:pt idx="3">
                  <c:v>0.34791666666666698</c:v>
                </c:pt>
                <c:pt idx="4">
                  <c:v>0.42592592592592599</c:v>
                </c:pt>
                <c:pt idx="5">
                  <c:v>0.677966101694913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55-2A48-AFC2-10656DC430D8}"/>
            </c:ext>
          </c:extLst>
        </c:ser>
        <c:ser>
          <c:idx val="2"/>
          <c:order val="2"/>
          <c:tx>
            <c:strRef>
              <c:f>'Battery Comparisons'!$N$7</c:f>
              <c:strCache>
                <c:ptCount val="1"/>
                <c:pt idx="0">
                  <c:v>Macaroni</c:v>
                </c:pt>
              </c:strCache>
            </c:strRef>
          </c:tx>
          <c:spPr>
            <a:ln cmpd="sng">
              <a:solidFill>
                <a:srgbClr val="FFFF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  <c:strCache>
                <c:ptCount val="6"/>
                <c:pt idx="0">
                  <c:v>AH</c:v>
                </c:pt>
                <c:pt idx="1">
                  <c:v>WH</c:v>
                </c:pt>
                <c:pt idx="3">
                  <c:v>rRES</c:v>
                </c:pt>
                <c:pt idx="4">
                  <c:v>V0</c:v>
                </c:pt>
                <c:pt idx="5">
                  <c:v>V2</c:v>
                </c:pt>
              </c:strCache>
            </c:strRef>
          </c:cat>
          <c:val>
            <c:numRef>
              <c:f>'Battery Comparisons'!$N$8:$N$13</c:f>
              <c:numCache>
                <c:formatCode>0.00</c:formatCode>
                <c:ptCount val="6"/>
                <c:pt idx="0">
                  <c:v>1</c:v>
                </c:pt>
                <c:pt idx="1">
                  <c:v>1</c:v>
                </c:pt>
                <c:pt idx="3">
                  <c:v>0.52083333333333326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55-2A48-AFC2-10656DC430D8}"/>
            </c:ext>
          </c:extLst>
        </c:ser>
        <c:ser>
          <c:idx val="3"/>
          <c:order val="3"/>
          <c:tx>
            <c:strRef>
              <c:f>'Battery Comparisons'!$O$7</c:f>
              <c:strCache>
                <c:ptCount val="1"/>
                <c:pt idx="0">
                  <c:v>Penne</c:v>
                </c:pt>
              </c:strCache>
            </c:strRef>
          </c:tx>
          <c:spPr>
            <a:ln cmpd="sng">
              <a:solidFill>
                <a:srgbClr val="00FF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  <c:strCache>
                <c:ptCount val="6"/>
                <c:pt idx="0">
                  <c:v>AH</c:v>
                </c:pt>
                <c:pt idx="1">
                  <c:v>WH</c:v>
                </c:pt>
                <c:pt idx="3">
                  <c:v>rRES</c:v>
                </c:pt>
                <c:pt idx="4">
                  <c:v>V0</c:v>
                </c:pt>
                <c:pt idx="5">
                  <c:v>V2</c:v>
                </c:pt>
              </c:strCache>
            </c:strRef>
          </c:cat>
          <c:val>
            <c:numRef>
              <c:f>'Battery Comparisons'!$O$8:$O$13</c:f>
              <c:numCache>
                <c:formatCode>0.00</c:formatCode>
                <c:ptCount val="6"/>
                <c:pt idx="0">
                  <c:v>0.88857938718662943</c:v>
                </c:pt>
                <c:pt idx="1">
                  <c:v>0.98055327307586937</c:v>
                </c:pt>
                <c:pt idx="3">
                  <c:v>0.86875000000000024</c:v>
                </c:pt>
                <c:pt idx="4">
                  <c:v>0.98148148148148195</c:v>
                </c:pt>
                <c:pt idx="5">
                  <c:v>0.9830508474576275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55-2A48-AFC2-10656DC430D8}"/>
            </c:ext>
          </c:extLst>
        </c:ser>
        <c:ser>
          <c:idx val="4"/>
          <c:order val="4"/>
          <c:tx>
            <c:strRef>
              <c:f>'Battery Comparisons'!$P$7</c:f>
              <c:strCache>
                <c:ptCount val="1"/>
                <c:pt idx="0">
                  <c:v>Ravioli</c:v>
                </c:pt>
              </c:strCache>
            </c:strRef>
          </c:tx>
          <c:spPr>
            <a:ln cmpd="sng">
              <a:solidFill>
                <a:srgbClr val="0000F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  <c:strCache>
                <c:ptCount val="6"/>
                <c:pt idx="0">
                  <c:v>AH</c:v>
                </c:pt>
                <c:pt idx="1">
                  <c:v>WH</c:v>
                </c:pt>
                <c:pt idx="3">
                  <c:v>rRES</c:v>
                </c:pt>
                <c:pt idx="4">
                  <c:v>V0</c:v>
                </c:pt>
                <c:pt idx="5">
                  <c:v>V2</c:v>
                </c:pt>
              </c:strCache>
            </c:strRef>
          </c:cat>
          <c:val>
            <c:numRef>
              <c:f>'Battery Comparisons'!$P$8:$P$13</c:f>
              <c:numCache>
                <c:formatCode>0.00</c:formatCode>
                <c:ptCount val="6"/>
                <c:pt idx="0">
                  <c:v>0.58495821727019492</c:v>
                </c:pt>
                <c:pt idx="1">
                  <c:v>0.61216105176663904</c:v>
                </c:pt>
                <c:pt idx="3">
                  <c:v>0.69374999999999953</c:v>
                </c:pt>
                <c:pt idx="4">
                  <c:v>0.98148148148148195</c:v>
                </c:pt>
                <c:pt idx="5">
                  <c:v>0.71186440677966112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55-2A48-AFC2-10656DC430D8}"/>
            </c:ext>
          </c:extLst>
        </c:ser>
        <c:ser>
          <c:idx val="5"/>
          <c:order val="5"/>
          <c:tx>
            <c:strRef>
              <c:f>'Battery Comparisons'!$Q$7</c:f>
              <c:strCache>
                <c:ptCount val="1"/>
                <c:pt idx="0">
                  <c:v>Tortellini</c:v>
                </c:pt>
              </c:strCache>
            </c:strRef>
          </c:tx>
          <c:spPr>
            <a:ln cmpd="sng">
              <a:solidFill>
                <a:srgbClr val="9900F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  <c:strCache>
                <c:ptCount val="6"/>
                <c:pt idx="0">
                  <c:v>AH</c:v>
                </c:pt>
                <c:pt idx="1">
                  <c:v>WH</c:v>
                </c:pt>
                <c:pt idx="3">
                  <c:v>rRES</c:v>
                </c:pt>
                <c:pt idx="4">
                  <c:v>V0</c:v>
                </c:pt>
                <c:pt idx="5">
                  <c:v>V2</c:v>
                </c:pt>
              </c:strCache>
            </c:strRef>
          </c:cat>
          <c:val>
            <c:numRef>
              <c:f>'Battery Comparisons'!$Q$8:$Q$13</c:f>
              <c:numCache>
                <c:formatCode>0.00</c:formatCode>
                <c:ptCount val="6"/>
                <c:pt idx="0">
                  <c:v>0.88579387186629521</c:v>
                </c:pt>
                <c:pt idx="1">
                  <c:v>0.95288961928238802</c:v>
                </c:pt>
                <c:pt idx="3">
                  <c:v>0.55625000000000036</c:v>
                </c:pt>
                <c:pt idx="4">
                  <c:v>0.79629629629629439</c:v>
                </c:pt>
                <c:pt idx="5">
                  <c:v>0.76271186440677863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55-2A48-AFC2-10656DC430D8}"/>
            </c:ext>
          </c:extLst>
        </c:ser>
        <c:ser>
          <c:idx val="6"/>
          <c:order val="6"/>
          <c:tx>
            <c:strRef>
              <c:f>'Battery Comparisons'!$R$7</c:f>
              <c:strCache>
                <c:ptCount val="1"/>
                <c:pt idx="0">
                  <c:v>Shellatoni</c:v>
                </c:pt>
              </c:strCache>
            </c:strRef>
          </c:tx>
          <c:spPr>
            <a:ln cmpd="sng">
              <a:solidFill>
                <a:srgbClr val="00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  <c:strCache>
                <c:ptCount val="6"/>
                <c:pt idx="0">
                  <c:v>AH</c:v>
                </c:pt>
                <c:pt idx="1">
                  <c:v>WH</c:v>
                </c:pt>
                <c:pt idx="3">
                  <c:v>rRES</c:v>
                </c:pt>
                <c:pt idx="4">
                  <c:v>V0</c:v>
                </c:pt>
                <c:pt idx="5">
                  <c:v>V2</c:v>
                </c:pt>
              </c:strCache>
            </c:strRef>
          </c:cat>
          <c:val>
            <c:numRef>
              <c:f>'Battery Comparisons'!$R$8:$R$13</c:f>
              <c:numCache>
                <c:formatCode>0.00</c:formatCode>
                <c:ptCount val="6"/>
                <c:pt idx="0">
                  <c:v>0.67966573816155984</c:v>
                </c:pt>
                <c:pt idx="1">
                  <c:v>0.74061900849082407</c:v>
                </c:pt>
                <c:pt idx="3">
                  <c:v>0.62499999999999989</c:v>
                </c:pt>
                <c:pt idx="4">
                  <c:v>0.77777777777777635</c:v>
                </c:pt>
                <c:pt idx="5">
                  <c:v>0.79661016949152363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55-2A48-AFC2-10656DC430D8}"/>
            </c:ext>
          </c:extLst>
        </c:ser>
        <c:ser>
          <c:idx val="7"/>
          <c:order val="7"/>
          <c:tx>
            <c:strRef>
              <c:f>'Battery Comparisons'!$K$7</c:f>
              <c:strCache>
                <c:ptCount val="1"/>
                <c:pt idx="0">
                  <c:v>Bowtie</c:v>
                </c:pt>
              </c:strCache>
            </c:strRef>
          </c:tx>
          <c:spPr>
            <a:ln cmpd="sng">
              <a:solidFill>
                <a:srgbClr val="99999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  <c:strCache>
                <c:ptCount val="6"/>
                <c:pt idx="0">
                  <c:v>AH</c:v>
                </c:pt>
                <c:pt idx="1">
                  <c:v>WH</c:v>
                </c:pt>
                <c:pt idx="3">
                  <c:v>rRES</c:v>
                </c:pt>
                <c:pt idx="4">
                  <c:v>V0</c:v>
                </c:pt>
                <c:pt idx="5">
                  <c:v>V2</c:v>
                </c:pt>
              </c:strCache>
            </c:strRef>
          </c:cat>
          <c:val>
            <c:numRef>
              <c:f>'Battery Comparisons'!$K$8:$K$13</c:f>
              <c:numCache>
                <c:formatCode>0.00</c:formatCode>
                <c:ptCount val="6"/>
                <c:pt idx="0">
                  <c:v>0.56545961002785505</c:v>
                </c:pt>
                <c:pt idx="1">
                  <c:v>0.68830457408929036</c:v>
                </c:pt>
                <c:pt idx="3">
                  <c:v>1</c:v>
                </c:pt>
                <c:pt idx="4">
                  <c:v>0.92592592592592438</c:v>
                </c:pt>
                <c:pt idx="5">
                  <c:v>0.94915254237287938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D55-2A48-AFC2-10656DC43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6118597"/>
        <c:axId val="414332183"/>
      </c:radarChart>
      <c:catAx>
        <c:axId val="3961185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4332183"/>
        <c:crosses val="autoZero"/>
        <c:auto val="1"/>
        <c:lblAlgn val="ctr"/>
        <c:lblOffset val="100"/>
        <c:noMultiLvlLbl val="1"/>
      </c:catAx>
      <c:valAx>
        <c:axId val="414332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611859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chemeClr val="dk1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190500</xdr:colOff>
      <xdr:row>1</xdr:row>
      <xdr:rowOff>127000</xdr:rowOff>
    </xdr:from>
    <xdr:to>
      <xdr:col>5</xdr:col>
      <xdr:colOff>190500</xdr:colOff>
      <xdr:row>7</xdr:row>
      <xdr:rowOff>50800</xdr:rowOff>
    </xdr:to>
    <xdr:sp macro="" textlink="">
      <xdr:nvSpPr>
        <xdr:cNvPr id="1025" name="Text Box 1" hidden="1">
          <a:extLst>
            <a:ext uri="{FF2B5EF4-FFF2-40B4-BE49-F238E27FC236}">
              <a16:creationId xmlns:a16="http://schemas.microsoft.com/office/drawing/2014/main" id="{DD3BD5B1-081E-32A4-08D6-EE8B756545BD}"/>
            </a:ext>
          </a:extLst>
        </xdr:cNvPr>
        <xdr:cNvSpPr txBox="1">
          <a:spLocks noChangeArrowheads="1"/>
        </xdr:cNvSpPr>
      </xdr:nvSpPr>
      <xdr:spPr bwMode="auto">
        <a:xfrm>
          <a:off x="1409700" y="317500"/>
          <a:ext cx="51054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19050</xdr:colOff>
      <xdr:row>12</xdr:row>
      <xdr:rowOff>200025</xdr:rowOff>
    </xdr:from>
    <xdr:ext cx="5715000" cy="3533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vid Chen" id="{CB3AE706-A305-46B4-9640-C52D630FC8E0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6T01:46:15.00" personId="{CB3AE706-A305-46B4-9640-C52D630FC8E0}" id="{96A46B91-2CDD-4F43-B30C-00B5BA9B105C}">
    <text>Charging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0" dT="2026-02-03T23:55:28.00" personId="{CB3AE706-A305-46B4-9640-C52D630FC8E0}" id="{B59A2B3A-E55D-4F58-9E1B-0DDCC43BBDF3}" done="1">
    <text>Outlier?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1"/>
  <sheetViews>
    <sheetView workbookViewId="0"/>
  </sheetViews>
  <sheetFormatPr baseColWidth="10" defaultColWidth="12.6640625" defaultRowHeight="15.75" customHeight="1" x14ac:dyDescent="0.15"/>
  <cols>
    <col min="1" max="1" width="16" customWidth="1"/>
    <col min="3" max="3" width="15.1640625" customWidth="1"/>
    <col min="4" max="4" width="15" customWidth="1"/>
    <col min="5" max="5" width="24.1640625" customWidth="1"/>
    <col min="8" max="8" width="23" customWidth="1"/>
  </cols>
  <sheetData>
    <row r="1" spans="1:25" x14ac:dyDescent="0.2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1"/>
    </row>
    <row r="2" spans="1:25" x14ac:dyDescent="0.2">
      <c r="A2" s="5" t="s">
        <v>8</v>
      </c>
      <c r="B2" s="6">
        <v>45986</v>
      </c>
      <c r="C2" s="7">
        <v>6.7910000000000004</v>
      </c>
      <c r="D2" s="7">
        <v>73.069999999999993</v>
      </c>
      <c r="E2" s="5">
        <v>20</v>
      </c>
      <c r="F2" s="8"/>
      <c r="G2" s="9"/>
      <c r="H2" s="10"/>
      <c r="I2" s="10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25" x14ac:dyDescent="0.2">
      <c r="A3" s="12" t="s">
        <v>9</v>
      </c>
      <c r="B3" s="13">
        <v>45993</v>
      </c>
      <c r="C3" s="14">
        <v>7.15</v>
      </c>
      <c r="D3" s="14">
        <v>90.572999999999993</v>
      </c>
      <c r="E3" s="12">
        <v>17</v>
      </c>
      <c r="F3" s="12">
        <v>13.398999999999999</v>
      </c>
      <c r="G3" s="15"/>
      <c r="H3" s="16"/>
      <c r="I3" s="17"/>
    </row>
    <row r="4" spans="1:25" x14ac:dyDescent="0.2">
      <c r="A4" s="12" t="s">
        <v>10</v>
      </c>
      <c r="B4" s="13">
        <v>45995</v>
      </c>
      <c r="C4" s="14">
        <v>8.1199999999999992</v>
      </c>
      <c r="D4" s="14">
        <v>76.64</v>
      </c>
      <c r="E4" s="12">
        <v>20</v>
      </c>
      <c r="F4" s="12">
        <v>13.488</v>
      </c>
      <c r="G4" s="12">
        <v>13.116</v>
      </c>
      <c r="H4" s="16"/>
      <c r="I4" s="17"/>
    </row>
    <row r="5" spans="1:25" x14ac:dyDescent="0.2">
      <c r="A5" s="18" t="s">
        <v>11</v>
      </c>
      <c r="B5" s="19">
        <v>46006</v>
      </c>
      <c r="C5" s="20">
        <v>5.97</v>
      </c>
      <c r="D5" s="20">
        <v>99.873000000000005</v>
      </c>
      <c r="E5" s="21">
        <v>16</v>
      </c>
      <c r="F5" s="18">
        <v>13.039</v>
      </c>
      <c r="G5" s="18">
        <v>12.738</v>
      </c>
      <c r="H5" s="22" t="s">
        <v>12</v>
      </c>
      <c r="I5" s="23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</row>
    <row r="6" spans="1:25" x14ac:dyDescent="0.2">
      <c r="A6" s="12" t="s">
        <v>13</v>
      </c>
      <c r="B6" s="13">
        <v>46008</v>
      </c>
      <c r="C6" s="14">
        <v>6.2880000000000003</v>
      </c>
      <c r="D6" s="14">
        <v>88.134</v>
      </c>
      <c r="E6" s="12">
        <v>19</v>
      </c>
      <c r="F6" s="12">
        <v>12.105</v>
      </c>
      <c r="G6" s="12">
        <v>12.595000000000001</v>
      </c>
      <c r="H6" s="16"/>
      <c r="I6" s="17"/>
    </row>
    <row r="7" spans="1:25" x14ac:dyDescent="0.2">
      <c r="A7" s="12" t="s">
        <v>14</v>
      </c>
      <c r="B7" s="13">
        <v>46009</v>
      </c>
      <c r="C7" s="14">
        <v>6.54</v>
      </c>
      <c r="D7" s="14">
        <v>79.847999999999999</v>
      </c>
      <c r="E7" s="12">
        <v>17</v>
      </c>
      <c r="F7" s="12">
        <v>13.273999999999999</v>
      </c>
      <c r="G7" s="12">
        <v>12.923999999999999</v>
      </c>
      <c r="H7" s="16" t="s">
        <v>15</v>
      </c>
      <c r="I7" s="17"/>
    </row>
    <row r="8" spans="1:25" x14ac:dyDescent="0.2">
      <c r="A8" s="12" t="s">
        <v>16</v>
      </c>
      <c r="B8" s="13">
        <v>46010</v>
      </c>
      <c r="C8" s="14">
        <v>5.5819999999999999</v>
      </c>
      <c r="D8" s="14">
        <v>68.162000000000006</v>
      </c>
      <c r="E8" s="12">
        <v>19</v>
      </c>
      <c r="F8" s="12">
        <v>13.178000000000001</v>
      </c>
      <c r="G8" s="12">
        <v>12.888999999999999</v>
      </c>
      <c r="H8" s="16"/>
      <c r="I8" s="17"/>
    </row>
    <row r="9" spans="1:25" x14ac:dyDescent="0.2">
      <c r="A9" s="12" t="s">
        <v>17</v>
      </c>
      <c r="B9" s="13">
        <v>46010</v>
      </c>
      <c r="C9" s="14">
        <v>6.34</v>
      </c>
      <c r="D9" s="14">
        <v>77.503</v>
      </c>
      <c r="E9" s="12">
        <v>20</v>
      </c>
      <c r="F9" s="12">
        <v>13.097</v>
      </c>
      <c r="G9" s="12">
        <v>12.724</v>
      </c>
      <c r="H9" s="16"/>
      <c r="I9" s="17"/>
    </row>
    <row r="10" spans="1:25" x14ac:dyDescent="0.2">
      <c r="A10" s="12" t="s">
        <v>11</v>
      </c>
      <c r="B10" s="13">
        <v>46011</v>
      </c>
      <c r="C10" s="14">
        <v>7.4119999999999999</v>
      </c>
      <c r="D10" s="14">
        <v>91.063999999999993</v>
      </c>
      <c r="E10" s="12">
        <v>15</v>
      </c>
      <c r="F10" s="12">
        <v>13.391999999999999</v>
      </c>
      <c r="G10" s="12">
        <v>13.11</v>
      </c>
      <c r="H10" s="16" t="s">
        <v>18</v>
      </c>
      <c r="I10" s="17"/>
    </row>
    <row r="11" spans="1:25" x14ac:dyDescent="0.2">
      <c r="A11" s="12" t="s">
        <v>8</v>
      </c>
      <c r="B11" s="13">
        <v>46013</v>
      </c>
      <c r="C11" s="14">
        <v>6.2060000000000004</v>
      </c>
      <c r="D11" s="14">
        <v>76.611999999999995</v>
      </c>
      <c r="E11" s="12">
        <v>18</v>
      </c>
      <c r="F11" s="12">
        <v>13.351000000000001</v>
      </c>
      <c r="G11" s="12">
        <v>13.026</v>
      </c>
      <c r="H11" s="16" t="s">
        <v>19</v>
      </c>
      <c r="I11" s="17"/>
    </row>
    <row r="12" spans="1:25" x14ac:dyDescent="0.2">
      <c r="A12" s="12" t="s">
        <v>13</v>
      </c>
      <c r="B12" s="13">
        <v>46025</v>
      </c>
      <c r="C12" s="14">
        <v>5.2350000000000003</v>
      </c>
      <c r="D12" s="14">
        <v>63.912999999999997</v>
      </c>
      <c r="E12" s="12">
        <v>21</v>
      </c>
      <c r="F12" s="12">
        <v>13.018000000000001</v>
      </c>
      <c r="G12" s="12">
        <v>12.651999999999999</v>
      </c>
      <c r="H12" s="16" t="s">
        <v>12</v>
      </c>
      <c r="I12" s="17"/>
    </row>
    <row r="13" spans="1:25" x14ac:dyDescent="0.2">
      <c r="A13" s="12" t="s">
        <v>10</v>
      </c>
      <c r="B13" s="13">
        <v>46025</v>
      </c>
      <c r="C13" s="14">
        <v>8.1050000000000004</v>
      </c>
      <c r="D13" s="14">
        <v>100.09</v>
      </c>
      <c r="E13" s="12">
        <v>21</v>
      </c>
      <c r="F13" s="12">
        <v>13.204000000000001</v>
      </c>
      <c r="G13" s="12">
        <v>12.868</v>
      </c>
      <c r="H13" s="16" t="s">
        <v>20</v>
      </c>
      <c r="I13" s="17"/>
    </row>
    <row r="14" spans="1:25" x14ac:dyDescent="0.2">
      <c r="A14" s="12" t="s">
        <v>9</v>
      </c>
      <c r="B14" s="13">
        <v>46027</v>
      </c>
      <c r="C14" s="14">
        <v>7.6180000000000003</v>
      </c>
      <c r="D14" s="14">
        <v>93.984999999999999</v>
      </c>
      <c r="E14" s="12">
        <v>17</v>
      </c>
      <c r="F14" s="12">
        <v>13.22</v>
      </c>
      <c r="G14" s="12">
        <v>12.897</v>
      </c>
      <c r="H14" s="16" t="s">
        <v>21</v>
      </c>
      <c r="I14" s="17"/>
    </row>
    <row r="15" spans="1:25" x14ac:dyDescent="0.2">
      <c r="A15" s="12" t="s">
        <v>14</v>
      </c>
      <c r="B15" s="13">
        <v>46028</v>
      </c>
      <c r="C15" s="14">
        <v>5.8789999999999996</v>
      </c>
      <c r="D15" s="14">
        <v>71.346000000000004</v>
      </c>
      <c r="E15" s="12">
        <v>19</v>
      </c>
      <c r="F15" s="12">
        <v>13.989000000000001</v>
      </c>
      <c r="G15" s="12">
        <v>12.609</v>
      </c>
      <c r="H15" s="16" t="s">
        <v>22</v>
      </c>
      <c r="I15" s="17"/>
    </row>
    <row r="16" spans="1:25" x14ac:dyDescent="0.2">
      <c r="A16" s="12" t="s">
        <v>17</v>
      </c>
      <c r="B16" s="13">
        <v>46029</v>
      </c>
      <c r="C16" s="14">
        <v>7.2960000000000003</v>
      </c>
      <c r="D16" s="14">
        <v>89.483000000000004</v>
      </c>
      <c r="E16" s="12">
        <v>19</v>
      </c>
      <c r="F16" s="12">
        <v>13.099</v>
      </c>
      <c r="G16" s="12">
        <v>12.728999999999999</v>
      </c>
      <c r="H16" s="16" t="s">
        <v>21</v>
      </c>
      <c r="I16" s="17"/>
    </row>
    <row r="17" spans="1:9" x14ac:dyDescent="0.2">
      <c r="A17" s="12" t="s">
        <v>16</v>
      </c>
      <c r="B17" s="13">
        <v>46031</v>
      </c>
      <c r="C17" s="14">
        <v>6.07</v>
      </c>
      <c r="D17" s="14">
        <v>74.323999999999998</v>
      </c>
      <c r="E17" s="12">
        <v>19</v>
      </c>
      <c r="F17" s="12">
        <v>13.125</v>
      </c>
      <c r="G17" s="12">
        <v>12.76</v>
      </c>
      <c r="H17" s="16" t="s">
        <v>23</v>
      </c>
      <c r="I17" s="17"/>
    </row>
    <row r="18" spans="1:9" x14ac:dyDescent="0.2">
      <c r="A18" s="12" t="s">
        <v>11</v>
      </c>
      <c r="B18" s="13">
        <v>46035</v>
      </c>
      <c r="C18" s="14">
        <v>5.79</v>
      </c>
      <c r="D18" s="14">
        <v>71.093999999999994</v>
      </c>
      <c r="E18" s="12">
        <v>16</v>
      </c>
      <c r="F18" s="12">
        <v>13.516</v>
      </c>
      <c r="G18" s="12">
        <v>13.234</v>
      </c>
      <c r="H18" s="16"/>
      <c r="I18" s="17"/>
    </row>
    <row r="19" spans="1:9" x14ac:dyDescent="0.2">
      <c r="A19" s="12" t="s">
        <v>8</v>
      </c>
      <c r="B19" s="13">
        <v>46035</v>
      </c>
      <c r="C19" s="14">
        <v>5.9669999999999996</v>
      </c>
      <c r="D19" s="14">
        <v>73.453000000000003</v>
      </c>
      <c r="E19" s="12">
        <v>18</v>
      </c>
      <c r="F19" s="12">
        <v>13.288</v>
      </c>
      <c r="G19" s="12">
        <v>12.904</v>
      </c>
      <c r="H19" s="16" t="s">
        <v>24</v>
      </c>
      <c r="I19" s="17"/>
    </row>
    <row r="20" spans="1:9" x14ac:dyDescent="0.2">
      <c r="A20" s="12" t="s">
        <v>13</v>
      </c>
      <c r="B20" s="13">
        <v>46036</v>
      </c>
      <c r="C20" s="14">
        <v>7.5739999999999998</v>
      </c>
      <c r="D20" s="14">
        <v>101</v>
      </c>
      <c r="E20" s="12">
        <v>18</v>
      </c>
      <c r="F20" s="12">
        <v>13.192</v>
      </c>
      <c r="G20" s="12">
        <v>12.855</v>
      </c>
      <c r="H20" s="16" t="s">
        <v>25</v>
      </c>
      <c r="I20" s="17"/>
    </row>
    <row r="21" spans="1:9" x14ac:dyDescent="0.2">
      <c r="A21" s="12" t="s">
        <v>10</v>
      </c>
      <c r="B21" s="13">
        <v>46037</v>
      </c>
      <c r="C21" s="14">
        <v>7.6749999999999998</v>
      </c>
      <c r="D21" s="14">
        <v>94.641999999999996</v>
      </c>
      <c r="E21" s="12">
        <v>16</v>
      </c>
      <c r="F21" s="12">
        <v>13.314</v>
      </c>
      <c r="G21" s="12">
        <v>13.016</v>
      </c>
      <c r="H21" s="16" t="s">
        <v>26</v>
      </c>
      <c r="I21" s="17"/>
    </row>
    <row r="22" spans="1:9" x14ac:dyDescent="0.2">
      <c r="A22" s="12" t="s">
        <v>9</v>
      </c>
      <c r="B22" s="13">
        <v>46037</v>
      </c>
      <c r="C22" s="14">
        <v>8.032</v>
      </c>
      <c r="D22" s="14">
        <v>99.231999999999999</v>
      </c>
      <c r="E22" s="12">
        <v>16</v>
      </c>
      <c r="F22" s="12">
        <v>13.42</v>
      </c>
      <c r="G22" s="12">
        <v>13.125999999999999</v>
      </c>
      <c r="H22" s="16" t="s">
        <v>21</v>
      </c>
      <c r="I22" s="17"/>
    </row>
    <row r="23" spans="1:9" x14ac:dyDescent="0.2">
      <c r="A23" s="12" t="s">
        <v>14</v>
      </c>
      <c r="B23" s="13">
        <v>46038</v>
      </c>
      <c r="C23" s="14">
        <v>6.7539999999999996</v>
      </c>
      <c r="D23" s="14">
        <v>83.016000000000005</v>
      </c>
      <c r="E23" s="12">
        <v>15</v>
      </c>
      <c r="F23" s="12">
        <v>13.308999999999999</v>
      </c>
      <c r="G23" s="12">
        <v>13.01</v>
      </c>
      <c r="H23" s="16" t="s">
        <v>27</v>
      </c>
      <c r="I23" s="17"/>
    </row>
    <row r="24" spans="1:9" x14ac:dyDescent="0.2">
      <c r="A24" s="12" t="s">
        <v>17</v>
      </c>
      <c r="B24" s="13">
        <v>46038</v>
      </c>
      <c r="C24" s="14">
        <v>7.76</v>
      </c>
      <c r="D24" s="14">
        <v>94.421999999999997</v>
      </c>
      <c r="E24" s="12">
        <v>16</v>
      </c>
      <c r="F24" s="12">
        <v>13.307</v>
      </c>
      <c r="G24" s="12">
        <v>12.965</v>
      </c>
      <c r="H24" s="16" t="s">
        <v>22</v>
      </c>
      <c r="I24" s="17"/>
    </row>
    <row r="25" spans="1:9" x14ac:dyDescent="0.2">
      <c r="A25" s="12" t="s">
        <v>11</v>
      </c>
      <c r="B25" s="13">
        <v>46039</v>
      </c>
      <c r="C25" s="14">
        <v>5.8010000000000002</v>
      </c>
      <c r="D25" s="14">
        <v>71.335999999999999</v>
      </c>
      <c r="E25" s="12">
        <v>19</v>
      </c>
      <c r="F25" s="12">
        <v>13.512</v>
      </c>
      <c r="G25" s="12">
        <v>13.147</v>
      </c>
      <c r="H25" s="16" t="s">
        <v>12</v>
      </c>
      <c r="I25" s="17"/>
    </row>
    <row r="26" spans="1:9" x14ac:dyDescent="0.2">
      <c r="A26" s="12" t="s">
        <v>16</v>
      </c>
      <c r="B26" s="13">
        <v>46039</v>
      </c>
      <c r="C26" s="14">
        <v>7.0869999999999997</v>
      </c>
      <c r="D26" s="14">
        <v>87.39</v>
      </c>
      <c r="E26" s="12">
        <v>17</v>
      </c>
      <c r="F26" s="15"/>
      <c r="G26" s="15"/>
      <c r="H26" s="16"/>
      <c r="I26" s="17"/>
    </row>
    <row r="27" spans="1:9" x14ac:dyDescent="0.2">
      <c r="A27" s="12" t="s">
        <v>8</v>
      </c>
      <c r="B27" s="13">
        <v>46041</v>
      </c>
      <c r="C27" s="14">
        <v>6.9089999999999998</v>
      </c>
      <c r="D27" s="14">
        <v>85.38</v>
      </c>
      <c r="E27" s="12">
        <v>19</v>
      </c>
      <c r="F27" s="12">
        <v>13.436999999999999</v>
      </c>
      <c r="G27" s="12">
        <v>13.082000000000001</v>
      </c>
      <c r="H27" s="16"/>
      <c r="I27" s="17"/>
    </row>
    <row r="28" spans="1:9" x14ac:dyDescent="0.2">
      <c r="A28" s="12" t="s">
        <v>13</v>
      </c>
      <c r="B28" s="13">
        <v>46041</v>
      </c>
      <c r="C28" s="14">
        <v>7.18</v>
      </c>
      <c r="D28" s="14">
        <v>88.206000000000003</v>
      </c>
      <c r="E28" s="12">
        <v>19</v>
      </c>
      <c r="F28" s="12">
        <v>13.346</v>
      </c>
      <c r="G28" s="12">
        <v>12.981999999999999</v>
      </c>
      <c r="H28" s="16"/>
      <c r="I28" s="17"/>
    </row>
    <row r="29" spans="1:9" x14ac:dyDescent="0.2">
      <c r="A29" s="12" t="s">
        <v>10</v>
      </c>
      <c r="B29" s="13">
        <v>46041</v>
      </c>
      <c r="C29" s="14">
        <v>7.101</v>
      </c>
      <c r="D29" s="14">
        <v>87.790999999999997</v>
      </c>
      <c r="E29" s="12">
        <v>17</v>
      </c>
      <c r="F29" s="12">
        <v>13.336</v>
      </c>
      <c r="G29" s="12">
        <v>13.010999999999999</v>
      </c>
      <c r="H29" s="16"/>
      <c r="I29" s="17"/>
    </row>
    <row r="30" spans="1:9" x14ac:dyDescent="0.2">
      <c r="A30" s="12" t="s">
        <v>9</v>
      </c>
      <c r="B30" s="13">
        <v>46041</v>
      </c>
      <c r="C30" s="14">
        <v>7.4850000000000003</v>
      </c>
      <c r="D30" s="14">
        <v>92.32</v>
      </c>
      <c r="E30" s="12">
        <v>18</v>
      </c>
      <c r="F30" s="12">
        <v>13.263</v>
      </c>
      <c r="G30" s="12">
        <v>12.952</v>
      </c>
      <c r="H30" s="25" t="s">
        <v>28</v>
      </c>
      <c r="I30" s="26"/>
    </row>
    <row r="31" spans="1:9" x14ac:dyDescent="0.2">
      <c r="A31" s="12" t="s">
        <v>11</v>
      </c>
      <c r="B31" s="13">
        <v>46042</v>
      </c>
      <c r="C31" s="14">
        <v>5.0830000000000002</v>
      </c>
      <c r="D31" s="14">
        <v>62.619</v>
      </c>
      <c r="E31" s="15"/>
      <c r="F31" s="12">
        <v>13.090999999999999</v>
      </c>
      <c r="G31" s="12">
        <v>12.707000000000001</v>
      </c>
      <c r="H31" s="16"/>
      <c r="I31" s="17"/>
    </row>
    <row r="32" spans="1:9" x14ac:dyDescent="0.2">
      <c r="A32" s="12" t="s">
        <v>14</v>
      </c>
      <c r="B32" s="13">
        <v>46043</v>
      </c>
      <c r="C32" s="14">
        <v>5.5759999999999996</v>
      </c>
      <c r="D32" s="14">
        <v>74.369</v>
      </c>
      <c r="E32" s="12">
        <v>19</v>
      </c>
      <c r="F32" s="12">
        <v>13.151999999999999</v>
      </c>
      <c r="G32" s="12">
        <v>12.885</v>
      </c>
      <c r="H32" s="16" t="s">
        <v>12</v>
      </c>
      <c r="I32" s="17"/>
    </row>
    <row r="33" spans="1:10" x14ac:dyDescent="0.2">
      <c r="A33" s="12" t="s">
        <v>8</v>
      </c>
      <c r="B33" s="13">
        <v>46045</v>
      </c>
      <c r="C33" s="14">
        <v>6.6130000000000004</v>
      </c>
      <c r="D33" s="14">
        <v>81.938999999999993</v>
      </c>
      <c r="E33" s="12">
        <v>18</v>
      </c>
      <c r="F33" s="12">
        <v>13.313000000000001</v>
      </c>
      <c r="G33" s="12">
        <v>12.972</v>
      </c>
      <c r="H33" s="16" t="s">
        <v>12</v>
      </c>
      <c r="I33" s="17"/>
    </row>
    <row r="34" spans="1:10" x14ac:dyDescent="0.2">
      <c r="A34" s="12" t="s">
        <v>16</v>
      </c>
      <c r="B34" s="13">
        <v>46045</v>
      </c>
      <c r="C34" s="14">
        <v>6.617</v>
      </c>
      <c r="D34" s="14">
        <v>81.299000000000007</v>
      </c>
      <c r="E34" s="12">
        <v>19</v>
      </c>
      <c r="F34" s="12">
        <v>13.243</v>
      </c>
      <c r="G34" s="12">
        <v>12.906000000000001</v>
      </c>
      <c r="H34" s="16" t="s">
        <v>29</v>
      </c>
      <c r="I34" s="17"/>
    </row>
    <row r="35" spans="1:10" x14ac:dyDescent="0.2">
      <c r="A35" s="12" t="s">
        <v>17</v>
      </c>
      <c r="B35" s="13">
        <v>46045</v>
      </c>
      <c r="C35" s="14">
        <v>6.7670000000000003</v>
      </c>
      <c r="D35" s="14">
        <v>83.26</v>
      </c>
      <c r="E35" s="12">
        <v>18</v>
      </c>
      <c r="F35" s="12">
        <v>13.276</v>
      </c>
      <c r="G35" s="12">
        <v>12.942</v>
      </c>
      <c r="H35" s="16"/>
      <c r="I35" s="17"/>
    </row>
    <row r="36" spans="1:10" x14ac:dyDescent="0.2">
      <c r="A36" s="12" t="s">
        <v>13</v>
      </c>
      <c r="B36" s="13">
        <v>46046</v>
      </c>
      <c r="C36" s="14">
        <v>5.976</v>
      </c>
      <c r="D36" s="14">
        <v>73.655000000000001</v>
      </c>
      <c r="E36" s="12">
        <v>19</v>
      </c>
      <c r="F36" s="12">
        <v>13.118</v>
      </c>
      <c r="G36" s="12">
        <v>12.757</v>
      </c>
      <c r="H36" s="16" t="s">
        <v>30</v>
      </c>
      <c r="I36" s="17"/>
      <c r="J36" s="17"/>
    </row>
    <row r="37" spans="1:10" x14ac:dyDescent="0.2">
      <c r="A37" s="12" t="s">
        <v>10</v>
      </c>
      <c r="B37" s="13">
        <v>46046</v>
      </c>
      <c r="C37" s="14">
        <v>7.1020000000000003</v>
      </c>
      <c r="D37" s="14">
        <v>87.89</v>
      </c>
      <c r="E37" s="12">
        <v>18</v>
      </c>
      <c r="F37" s="12">
        <v>13.302</v>
      </c>
      <c r="G37" s="12">
        <v>12.993</v>
      </c>
      <c r="H37" s="16" t="s">
        <v>31</v>
      </c>
      <c r="I37" s="17"/>
      <c r="J37" s="17"/>
    </row>
    <row r="38" spans="1:10" x14ac:dyDescent="0.2">
      <c r="A38" s="12" t="s">
        <v>9</v>
      </c>
      <c r="B38" s="13">
        <v>46050</v>
      </c>
      <c r="C38" s="14">
        <v>6.78</v>
      </c>
      <c r="D38" s="14">
        <v>83.741</v>
      </c>
      <c r="E38" s="12">
        <v>18</v>
      </c>
      <c r="F38" s="12">
        <v>13.241</v>
      </c>
      <c r="G38" s="12">
        <v>12.898999999999999</v>
      </c>
      <c r="H38" s="16" t="s">
        <v>32</v>
      </c>
      <c r="I38" s="17"/>
      <c r="J38" s="17"/>
    </row>
    <row r="39" spans="1:10" x14ac:dyDescent="0.2">
      <c r="A39" s="12" t="s">
        <v>14</v>
      </c>
      <c r="B39" s="13">
        <v>46050</v>
      </c>
      <c r="C39" s="14">
        <v>5.9249999999999998</v>
      </c>
      <c r="D39" s="14">
        <v>72.731999999999999</v>
      </c>
      <c r="E39" s="12">
        <v>19</v>
      </c>
      <c r="F39" s="12">
        <v>13.086</v>
      </c>
      <c r="G39" s="12">
        <v>12.734</v>
      </c>
      <c r="H39" s="16" t="s">
        <v>33</v>
      </c>
      <c r="I39" s="17"/>
    </row>
    <row r="40" spans="1:10" x14ac:dyDescent="0.2">
      <c r="A40" s="12" t="s">
        <v>16</v>
      </c>
      <c r="B40" s="13">
        <v>46051</v>
      </c>
      <c r="C40" s="14">
        <v>7.15</v>
      </c>
      <c r="D40" s="14">
        <v>95.363</v>
      </c>
      <c r="E40" s="12">
        <v>16</v>
      </c>
      <c r="F40" s="12">
        <v>13.295</v>
      </c>
      <c r="G40" s="12">
        <v>12.989000000000001</v>
      </c>
      <c r="H40" s="16" t="s">
        <v>34</v>
      </c>
      <c r="I40" s="17"/>
    </row>
    <row r="41" spans="1:10" x14ac:dyDescent="0.2">
      <c r="A41" s="12" t="s">
        <v>35</v>
      </c>
      <c r="B41" s="13">
        <v>46051</v>
      </c>
      <c r="C41" s="14">
        <v>6.0830000000000002</v>
      </c>
      <c r="D41" s="14">
        <v>74.284999999999997</v>
      </c>
      <c r="E41" s="12">
        <v>26</v>
      </c>
      <c r="F41" s="12">
        <v>13.180999999999999</v>
      </c>
      <c r="G41" s="12">
        <v>12.7</v>
      </c>
      <c r="H41" s="16" t="s">
        <v>12</v>
      </c>
      <c r="I41" s="17"/>
    </row>
    <row r="42" spans="1:10" x14ac:dyDescent="0.2">
      <c r="A42" s="12" t="s">
        <v>17</v>
      </c>
      <c r="B42" s="13">
        <v>46051</v>
      </c>
      <c r="C42" s="14">
        <v>6.9059999999999997</v>
      </c>
      <c r="D42" s="14">
        <v>84.956999999999994</v>
      </c>
      <c r="E42" s="12">
        <v>20</v>
      </c>
      <c r="F42" s="12">
        <v>13.228</v>
      </c>
      <c r="G42" s="12">
        <v>12.840999999999999</v>
      </c>
      <c r="H42" s="16" t="s">
        <v>36</v>
      </c>
      <c r="I42" s="17"/>
    </row>
    <row r="43" spans="1:10" x14ac:dyDescent="0.2">
      <c r="A43" s="12" t="s">
        <v>37</v>
      </c>
      <c r="B43" s="13">
        <v>46052</v>
      </c>
      <c r="C43" s="14">
        <v>5.6929999999999996</v>
      </c>
      <c r="D43" s="14">
        <v>69.768000000000001</v>
      </c>
      <c r="E43" s="12">
        <v>19</v>
      </c>
      <c r="F43" s="12">
        <v>13.172000000000001</v>
      </c>
      <c r="G43" s="12">
        <v>12.811999999999999</v>
      </c>
      <c r="H43" s="16"/>
      <c r="I43" s="17"/>
    </row>
    <row r="44" spans="1:10" x14ac:dyDescent="0.2">
      <c r="A44" s="12" t="s">
        <v>38</v>
      </c>
      <c r="B44" s="13">
        <v>46053</v>
      </c>
      <c r="C44" s="14">
        <v>5.077</v>
      </c>
      <c r="D44" s="14">
        <v>61.981000000000002</v>
      </c>
      <c r="E44" s="12">
        <v>20</v>
      </c>
      <c r="F44" s="12">
        <v>12.911</v>
      </c>
      <c r="G44" s="12">
        <v>12.512</v>
      </c>
      <c r="H44" s="16" t="s">
        <v>39</v>
      </c>
      <c r="I44" s="17"/>
    </row>
    <row r="45" spans="1:10" x14ac:dyDescent="0.2">
      <c r="A45" s="12" t="s">
        <v>40</v>
      </c>
      <c r="B45" s="13">
        <v>46058</v>
      </c>
      <c r="C45" s="14">
        <v>4.95</v>
      </c>
      <c r="D45" s="14">
        <v>54.197000000000003</v>
      </c>
      <c r="E45" s="12">
        <v>20</v>
      </c>
      <c r="F45" s="12">
        <v>17.882999999999999</v>
      </c>
      <c r="G45" s="12">
        <v>12.519</v>
      </c>
      <c r="H45" s="16" t="s">
        <v>41</v>
      </c>
      <c r="I45" s="17"/>
    </row>
    <row r="46" spans="1:10" x14ac:dyDescent="0.2">
      <c r="A46" s="12" t="s">
        <v>42</v>
      </c>
      <c r="B46" s="13">
        <v>46060</v>
      </c>
      <c r="C46" s="14">
        <v>5.4210000000000003</v>
      </c>
      <c r="D46" s="14">
        <v>66.231999999999999</v>
      </c>
      <c r="E46" s="12">
        <v>20</v>
      </c>
      <c r="F46" s="12">
        <v>13.108000000000001</v>
      </c>
      <c r="G46" s="12">
        <v>12.724</v>
      </c>
      <c r="H46" s="16" t="s">
        <v>21</v>
      </c>
      <c r="I46" s="17"/>
    </row>
    <row r="47" spans="1:10" x14ac:dyDescent="0.2">
      <c r="A47" s="12" t="s">
        <v>43</v>
      </c>
      <c r="B47" s="13">
        <v>46060</v>
      </c>
      <c r="C47" s="14">
        <v>4.6710000000000003</v>
      </c>
      <c r="D47" s="14">
        <v>56.719000000000001</v>
      </c>
      <c r="E47" s="12">
        <v>20</v>
      </c>
      <c r="F47" s="12">
        <v>12.974</v>
      </c>
      <c r="G47" s="12">
        <v>12.599</v>
      </c>
      <c r="H47" s="16" t="s">
        <v>44</v>
      </c>
      <c r="I47" s="17"/>
    </row>
    <row r="48" spans="1:10" x14ac:dyDescent="0.2">
      <c r="A48" s="12" t="s">
        <v>45</v>
      </c>
      <c r="B48" s="13">
        <v>46063</v>
      </c>
      <c r="C48" s="14">
        <v>3.9390000000000001</v>
      </c>
      <c r="D48" s="14">
        <v>52.53</v>
      </c>
      <c r="E48" s="12">
        <v>21</v>
      </c>
      <c r="F48" s="12">
        <v>12.773999999999999</v>
      </c>
      <c r="G48" s="12">
        <v>12.39</v>
      </c>
      <c r="H48" s="27" t="s">
        <v>46</v>
      </c>
      <c r="I48" s="28"/>
      <c r="J48" s="28"/>
    </row>
    <row r="49" spans="1:11" x14ac:dyDescent="0.2">
      <c r="A49" s="12" t="s">
        <v>47</v>
      </c>
      <c r="B49" s="13">
        <v>46064</v>
      </c>
      <c r="C49" s="14">
        <v>7.0709999999999997</v>
      </c>
      <c r="D49" s="14">
        <v>86.507999999999996</v>
      </c>
      <c r="E49" s="12">
        <v>19</v>
      </c>
      <c r="F49" s="12">
        <v>13.127000000000001</v>
      </c>
      <c r="G49" s="12">
        <v>12.753</v>
      </c>
      <c r="H49" s="29" t="s">
        <v>48</v>
      </c>
      <c r="I49" s="30"/>
      <c r="J49" s="30"/>
      <c r="K49" s="30"/>
    </row>
    <row r="50" spans="1:11" x14ac:dyDescent="0.2">
      <c r="A50" s="12" t="s">
        <v>49</v>
      </c>
      <c r="B50" s="13">
        <v>46065</v>
      </c>
      <c r="C50" s="14">
        <v>5.4749999999999996</v>
      </c>
      <c r="D50" s="14">
        <v>66.894999999999996</v>
      </c>
      <c r="E50" s="12">
        <v>20</v>
      </c>
      <c r="F50" s="12">
        <v>13.106999999999999</v>
      </c>
      <c r="G50" s="12">
        <v>12.731999999999999</v>
      </c>
      <c r="H50" s="29" t="s">
        <v>50</v>
      </c>
      <c r="I50" s="30"/>
      <c r="J50" s="30"/>
    </row>
    <row r="51" spans="1:11" x14ac:dyDescent="0.2">
      <c r="A51" s="12" t="s">
        <v>51</v>
      </c>
      <c r="B51" s="13">
        <v>46066</v>
      </c>
      <c r="C51" s="14">
        <v>5.0119999999999996</v>
      </c>
      <c r="D51" s="14">
        <v>61.533000000000001</v>
      </c>
      <c r="E51" s="12">
        <v>21</v>
      </c>
      <c r="F51" s="12">
        <v>12.961</v>
      </c>
      <c r="G51" s="12">
        <v>12.557</v>
      </c>
      <c r="H51" s="29" t="s">
        <v>52</v>
      </c>
      <c r="I51" s="30"/>
      <c r="J51" s="30"/>
      <c r="K51" s="30"/>
    </row>
    <row r="52" spans="1:11" x14ac:dyDescent="0.2">
      <c r="A52" s="12" t="s">
        <v>53</v>
      </c>
      <c r="B52" s="13">
        <v>46066</v>
      </c>
      <c r="C52" s="14">
        <v>5.585</v>
      </c>
      <c r="D52" s="14">
        <v>68.204999999999998</v>
      </c>
      <c r="E52" s="12">
        <v>21</v>
      </c>
      <c r="F52" s="12">
        <v>13.04</v>
      </c>
      <c r="G52" s="12">
        <v>12.648</v>
      </c>
      <c r="H52" s="16" t="s">
        <v>54</v>
      </c>
      <c r="I52" s="17"/>
    </row>
    <row r="53" spans="1:11" x14ac:dyDescent="0.2">
      <c r="A53" s="12" t="s">
        <v>55</v>
      </c>
      <c r="B53" s="13">
        <v>46067</v>
      </c>
      <c r="C53" s="14">
        <v>4.75</v>
      </c>
      <c r="D53" s="14">
        <v>57.884999999999998</v>
      </c>
      <c r="E53" s="12">
        <v>22</v>
      </c>
      <c r="F53" s="12">
        <v>12.967000000000001</v>
      </c>
      <c r="G53" s="12">
        <v>12.538</v>
      </c>
      <c r="H53" s="16"/>
      <c r="I53" s="17"/>
    </row>
    <row r="54" spans="1:11" x14ac:dyDescent="0.2">
      <c r="A54" s="12" t="s">
        <v>11</v>
      </c>
      <c r="B54" s="13">
        <v>46069</v>
      </c>
      <c r="C54" s="14">
        <v>5.7640000000000002</v>
      </c>
      <c r="D54" s="14">
        <v>69.954999999999998</v>
      </c>
      <c r="E54" s="12">
        <v>15</v>
      </c>
      <c r="F54" s="12">
        <v>13.090999999999999</v>
      </c>
      <c r="G54" s="12">
        <v>12.792999999999999</v>
      </c>
      <c r="H54" s="16" t="s">
        <v>21</v>
      </c>
      <c r="I54" s="17"/>
    </row>
    <row r="55" spans="1:11" x14ac:dyDescent="0.2">
      <c r="A55" s="12" t="s">
        <v>8</v>
      </c>
      <c r="B55" s="13">
        <v>46069</v>
      </c>
      <c r="C55" s="14">
        <v>6.702</v>
      </c>
      <c r="D55" s="14">
        <v>82.814999999999998</v>
      </c>
      <c r="E55" s="12">
        <v>20</v>
      </c>
      <c r="F55" s="12">
        <v>13.151</v>
      </c>
      <c r="G55" s="12">
        <v>12.789</v>
      </c>
      <c r="H55" s="16" t="s">
        <v>21</v>
      </c>
      <c r="I55" s="17"/>
    </row>
    <row r="56" spans="1:11" x14ac:dyDescent="0.2">
      <c r="A56" s="12" t="s">
        <v>13</v>
      </c>
      <c r="B56" s="13">
        <v>46070</v>
      </c>
      <c r="C56" s="14">
        <v>5.4349999999999996</v>
      </c>
      <c r="D56" s="14">
        <v>67.097999999999999</v>
      </c>
      <c r="E56" s="12">
        <v>20</v>
      </c>
      <c r="F56" s="12">
        <v>13.234999999999999</v>
      </c>
      <c r="G56" s="12">
        <v>12.875999999999999</v>
      </c>
      <c r="H56" s="16" t="s">
        <v>12</v>
      </c>
      <c r="I56" s="17"/>
    </row>
    <row r="57" spans="1:11" x14ac:dyDescent="0.2">
      <c r="A57" s="12" t="s">
        <v>10</v>
      </c>
      <c r="B57" s="13">
        <v>46070</v>
      </c>
      <c r="C57" s="14">
        <v>7.0750000000000002</v>
      </c>
      <c r="D57" s="14">
        <v>87.159000000000006</v>
      </c>
      <c r="E57" s="12">
        <v>19</v>
      </c>
      <c r="F57" s="12">
        <v>13.205</v>
      </c>
      <c r="G57" s="12">
        <v>12.855</v>
      </c>
      <c r="H57" s="16" t="s">
        <v>21</v>
      </c>
      <c r="I57" s="17"/>
    </row>
    <row r="58" spans="1:11" x14ac:dyDescent="0.2">
      <c r="A58" s="12" t="s">
        <v>9</v>
      </c>
      <c r="B58" s="13">
        <v>46070</v>
      </c>
      <c r="C58" s="14">
        <v>5.6849999999999996</v>
      </c>
      <c r="D58" s="14">
        <v>70.099999999999994</v>
      </c>
      <c r="E58" s="12">
        <v>15</v>
      </c>
      <c r="F58" s="12">
        <v>13.282</v>
      </c>
      <c r="G58" s="12">
        <v>12.996</v>
      </c>
      <c r="H58" s="16" t="s">
        <v>56</v>
      </c>
      <c r="I58" s="17"/>
    </row>
    <row r="59" spans="1:11" x14ac:dyDescent="0.2">
      <c r="A59" s="12" t="s">
        <v>14</v>
      </c>
      <c r="B59" s="13">
        <v>46071</v>
      </c>
      <c r="C59" s="14">
        <v>5.56</v>
      </c>
      <c r="D59" s="14">
        <v>67.992999999999995</v>
      </c>
      <c r="E59" s="12">
        <v>17</v>
      </c>
      <c r="F59" s="12">
        <v>12.993</v>
      </c>
      <c r="G59" s="12">
        <v>12.686</v>
      </c>
      <c r="H59" s="16" t="s">
        <v>57</v>
      </c>
      <c r="I59" s="17"/>
    </row>
    <row r="60" spans="1:11" x14ac:dyDescent="0.2">
      <c r="A60" s="12" t="s">
        <v>17</v>
      </c>
      <c r="B60" s="13">
        <v>46071</v>
      </c>
      <c r="C60" s="14">
        <v>7.6680000000000001</v>
      </c>
      <c r="D60" s="14">
        <v>94.296999999999997</v>
      </c>
      <c r="E60" s="12">
        <v>17</v>
      </c>
      <c r="F60" s="12">
        <v>13.173</v>
      </c>
      <c r="G60" s="12">
        <v>12.840999999999999</v>
      </c>
      <c r="H60" s="16" t="s">
        <v>21</v>
      </c>
      <c r="I60" s="17"/>
    </row>
    <row r="61" spans="1:11" x14ac:dyDescent="0.2">
      <c r="A61" s="12" t="s">
        <v>45</v>
      </c>
      <c r="B61" s="13">
        <v>46072</v>
      </c>
      <c r="C61" s="14">
        <v>6.2960000000000003</v>
      </c>
      <c r="D61" s="14">
        <v>77.061999999999998</v>
      </c>
      <c r="E61" s="12">
        <v>18</v>
      </c>
      <c r="F61" s="12">
        <v>12.996</v>
      </c>
      <c r="G61" s="12">
        <v>12.679</v>
      </c>
      <c r="H61" s="16" t="s">
        <v>21</v>
      </c>
      <c r="I61" s="17"/>
    </row>
    <row r="62" spans="1:11" x14ac:dyDescent="0.2">
      <c r="A62" s="12" t="s">
        <v>43</v>
      </c>
      <c r="B62" s="13">
        <v>46072</v>
      </c>
      <c r="C62" s="14">
        <v>6.1130000000000004</v>
      </c>
      <c r="D62" s="14">
        <v>74.844999999999999</v>
      </c>
      <c r="E62" s="12">
        <v>19</v>
      </c>
      <c r="F62" s="12">
        <v>12.992000000000001</v>
      </c>
      <c r="G62" s="12">
        <v>12.614000000000001</v>
      </c>
      <c r="H62" s="16" t="s">
        <v>21</v>
      </c>
      <c r="I62" s="17"/>
    </row>
    <row r="63" spans="1:11" x14ac:dyDescent="0.2">
      <c r="A63" s="12" t="s">
        <v>16</v>
      </c>
      <c r="B63" s="13">
        <v>46072</v>
      </c>
      <c r="C63" s="14">
        <v>5.7839999999999998</v>
      </c>
      <c r="D63" s="14">
        <v>70.853999999999999</v>
      </c>
      <c r="E63" s="12">
        <v>18</v>
      </c>
      <c r="F63" s="12">
        <v>13.105</v>
      </c>
      <c r="G63" s="12">
        <v>12.773999999999999</v>
      </c>
      <c r="H63" s="16" t="s">
        <v>58</v>
      </c>
      <c r="I63" s="17"/>
    </row>
    <row r="64" spans="1:11" x14ac:dyDescent="0.2">
      <c r="A64" s="12" t="s">
        <v>35</v>
      </c>
      <c r="B64" s="13">
        <v>46072</v>
      </c>
      <c r="C64" s="14">
        <v>9.94</v>
      </c>
      <c r="D64" s="14">
        <v>66.338999999999999</v>
      </c>
      <c r="E64" s="12">
        <v>24</v>
      </c>
      <c r="F64" s="12">
        <v>12.994</v>
      </c>
      <c r="G64" s="12">
        <v>12.539</v>
      </c>
      <c r="H64" s="16" t="s">
        <v>21</v>
      </c>
      <c r="I64" s="17"/>
    </row>
    <row r="65" spans="1:25" x14ac:dyDescent="0.2">
      <c r="A65" s="12" t="s">
        <v>51</v>
      </c>
      <c r="B65" s="13">
        <v>46073</v>
      </c>
      <c r="C65" s="14">
        <v>4.53</v>
      </c>
      <c r="D65" s="14">
        <v>60.420999999999999</v>
      </c>
      <c r="E65" s="12">
        <v>21</v>
      </c>
      <c r="F65" s="12">
        <v>12.943</v>
      </c>
      <c r="G65" s="12">
        <v>12.555</v>
      </c>
      <c r="H65" s="16" t="s">
        <v>59</v>
      </c>
      <c r="I65" s="17"/>
    </row>
    <row r="66" spans="1:25" x14ac:dyDescent="0.2">
      <c r="A66" s="12" t="s">
        <v>37</v>
      </c>
      <c r="B66" s="13">
        <v>46073</v>
      </c>
      <c r="C66" s="14">
        <v>6.0250000000000004</v>
      </c>
      <c r="D66" s="14">
        <v>73.822999999999993</v>
      </c>
      <c r="E66" s="12">
        <v>19</v>
      </c>
      <c r="F66" s="12">
        <v>13.04</v>
      </c>
      <c r="G66" s="12">
        <v>12.678000000000001</v>
      </c>
      <c r="H66" s="16" t="s">
        <v>60</v>
      </c>
      <c r="I66" s="17"/>
    </row>
    <row r="67" spans="1:25" x14ac:dyDescent="0.2">
      <c r="A67" s="12" t="s">
        <v>53</v>
      </c>
      <c r="B67" s="13">
        <v>46073</v>
      </c>
      <c r="C67" s="14">
        <v>5.7</v>
      </c>
      <c r="D67" s="14">
        <v>69.778000000000006</v>
      </c>
      <c r="E67" s="12">
        <v>20</v>
      </c>
      <c r="F67" s="12">
        <v>13.073</v>
      </c>
      <c r="G67" s="12">
        <v>12.722</v>
      </c>
      <c r="H67" s="16" t="s">
        <v>61</v>
      </c>
      <c r="I67" s="17"/>
    </row>
    <row r="68" spans="1:25" x14ac:dyDescent="0.2">
      <c r="A68" s="12" t="s">
        <v>40</v>
      </c>
      <c r="B68" s="13">
        <v>46073</v>
      </c>
      <c r="C68" s="14">
        <v>4.8090000000000002</v>
      </c>
      <c r="D68" s="14">
        <v>58.911000000000001</v>
      </c>
      <c r="E68" s="12">
        <v>20</v>
      </c>
      <c r="F68" s="12">
        <v>12.952</v>
      </c>
      <c r="G68" s="12">
        <v>12.564</v>
      </c>
      <c r="H68" s="16" t="s">
        <v>21</v>
      </c>
      <c r="I68" s="17"/>
    </row>
    <row r="69" spans="1:25" x14ac:dyDescent="0.2">
      <c r="A69" s="12" t="s">
        <v>47</v>
      </c>
      <c r="B69" s="13">
        <v>46076</v>
      </c>
      <c r="C69" s="14">
        <v>8.4220000000000006</v>
      </c>
      <c r="D69" s="14">
        <v>104.372</v>
      </c>
      <c r="E69" s="12">
        <v>20</v>
      </c>
      <c r="F69" s="12">
        <v>13.323</v>
      </c>
      <c r="G69" s="12">
        <v>12.973000000000001</v>
      </c>
      <c r="H69" s="16" t="s">
        <v>21</v>
      </c>
      <c r="I69" s="17"/>
    </row>
    <row r="70" spans="1:25" x14ac:dyDescent="0.2">
      <c r="A70" s="12" t="s">
        <v>38</v>
      </c>
      <c r="B70" s="13">
        <v>46076</v>
      </c>
      <c r="C70" s="14">
        <v>4.71</v>
      </c>
      <c r="D70" s="14">
        <v>57.695999999999998</v>
      </c>
      <c r="E70" s="12">
        <v>20</v>
      </c>
      <c r="F70" s="12">
        <v>13.154999999999999</v>
      </c>
      <c r="G70" s="12">
        <v>12.78</v>
      </c>
      <c r="H70" s="16" t="s">
        <v>21</v>
      </c>
      <c r="I70" s="17"/>
    </row>
    <row r="71" spans="1:25" x14ac:dyDescent="0.2">
      <c r="A71" s="12" t="s">
        <v>55</v>
      </c>
      <c r="B71" s="13">
        <v>46077</v>
      </c>
      <c r="C71" s="14">
        <v>5.0949999999999998</v>
      </c>
      <c r="D71" s="14">
        <v>62.526000000000003</v>
      </c>
      <c r="E71" s="12">
        <v>21</v>
      </c>
      <c r="F71" s="12">
        <v>12.978999999999999</v>
      </c>
      <c r="G71" s="12">
        <v>12.599</v>
      </c>
      <c r="H71" s="16" t="s">
        <v>21</v>
      </c>
      <c r="I71" s="17"/>
    </row>
    <row r="72" spans="1:25" x14ac:dyDescent="0.2">
      <c r="A72" s="12" t="s">
        <v>42</v>
      </c>
      <c r="B72" s="13">
        <v>46077</v>
      </c>
      <c r="C72" s="14">
        <v>5.5339999999999998</v>
      </c>
      <c r="D72" s="14">
        <v>67.891000000000005</v>
      </c>
      <c r="E72" s="12">
        <v>20</v>
      </c>
      <c r="F72" s="12">
        <v>13.15</v>
      </c>
      <c r="G72" s="12">
        <v>12.785</v>
      </c>
      <c r="H72" s="16" t="s">
        <v>62</v>
      </c>
      <c r="I72" s="17"/>
    </row>
    <row r="73" spans="1:25" x14ac:dyDescent="0.2">
      <c r="A73" s="12" t="s">
        <v>49</v>
      </c>
      <c r="B73" s="13">
        <v>46077</v>
      </c>
      <c r="C73" s="14">
        <v>6.415</v>
      </c>
      <c r="D73" s="14">
        <v>78.748999999999995</v>
      </c>
      <c r="E73" s="12">
        <v>20</v>
      </c>
      <c r="F73" s="12">
        <v>12.991</v>
      </c>
      <c r="G73" s="12">
        <v>12.625999999999999</v>
      </c>
      <c r="H73" s="16" t="s">
        <v>21</v>
      </c>
      <c r="I73" s="17"/>
    </row>
    <row r="74" spans="1:25" x14ac:dyDescent="0.2">
      <c r="A74" s="12" t="s">
        <v>11</v>
      </c>
      <c r="B74" s="13">
        <v>46077</v>
      </c>
      <c r="C74" s="14">
        <v>5.3810000000000002</v>
      </c>
      <c r="D74" s="14">
        <v>65.914000000000001</v>
      </c>
      <c r="E74" s="12"/>
      <c r="F74" s="12">
        <v>13.106999999999999</v>
      </c>
      <c r="G74" s="31">
        <v>12.762</v>
      </c>
      <c r="H74" s="32" t="s">
        <v>62</v>
      </c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</row>
    <row r="75" spans="1:25" x14ac:dyDescent="0.2">
      <c r="A75" s="12" t="s">
        <v>8</v>
      </c>
      <c r="B75" s="13">
        <v>46078</v>
      </c>
      <c r="C75" s="14">
        <v>5.7149999999999999</v>
      </c>
      <c r="D75" s="14">
        <v>70.393000000000001</v>
      </c>
      <c r="E75" s="12">
        <v>16</v>
      </c>
      <c r="F75" s="12">
        <v>13.21</v>
      </c>
      <c r="G75" s="12">
        <v>12.901999999999999</v>
      </c>
      <c r="H75" s="63" t="s">
        <v>21</v>
      </c>
      <c r="I75" s="64"/>
    </row>
    <row r="76" spans="1:25" x14ac:dyDescent="0.2">
      <c r="A76" s="12" t="s">
        <v>13</v>
      </c>
      <c r="B76" s="13">
        <v>46078</v>
      </c>
      <c r="C76" s="14">
        <v>6.3150000000000004</v>
      </c>
      <c r="D76" s="14">
        <v>77.8</v>
      </c>
      <c r="E76" s="12">
        <v>18</v>
      </c>
      <c r="F76" s="12">
        <v>13.154999999999999</v>
      </c>
      <c r="G76" s="12">
        <v>12.839</v>
      </c>
      <c r="H76" s="63" t="s">
        <v>22</v>
      </c>
      <c r="I76" s="64"/>
    </row>
    <row r="77" spans="1:25" x14ac:dyDescent="0.2">
      <c r="A77" s="12" t="s">
        <v>10</v>
      </c>
      <c r="B77" s="13">
        <v>46078</v>
      </c>
      <c r="C77" s="14">
        <v>7.0750000000000002</v>
      </c>
      <c r="D77" s="14">
        <v>87.36</v>
      </c>
      <c r="E77" s="12">
        <v>16</v>
      </c>
      <c r="F77" s="12">
        <v>13.198</v>
      </c>
      <c r="G77" s="12">
        <v>12.097</v>
      </c>
      <c r="H77" s="63" t="s">
        <v>21</v>
      </c>
      <c r="I77" s="64"/>
    </row>
    <row r="78" spans="1:25" x14ac:dyDescent="0.2">
      <c r="A78" s="12" t="s">
        <v>9</v>
      </c>
      <c r="B78" s="13">
        <v>46079</v>
      </c>
      <c r="C78" s="14">
        <v>6.3150000000000004</v>
      </c>
      <c r="D78" s="14">
        <v>77.8</v>
      </c>
      <c r="E78" s="12">
        <v>18</v>
      </c>
      <c r="F78" s="12">
        <v>13.097</v>
      </c>
      <c r="G78" s="12">
        <v>12.776</v>
      </c>
      <c r="H78" s="63" t="s">
        <v>22</v>
      </c>
      <c r="I78" s="64"/>
    </row>
    <row r="79" spans="1:25" x14ac:dyDescent="0.2">
      <c r="A79" s="12" t="s">
        <v>14</v>
      </c>
      <c r="B79" s="13">
        <v>46079</v>
      </c>
      <c r="C79" s="14">
        <v>4.9109999999999996</v>
      </c>
      <c r="D79" s="14">
        <v>60.076000000000001</v>
      </c>
      <c r="E79" s="12">
        <v>18</v>
      </c>
      <c r="F79" s="12">
        <v>13.061</v>
      </c>
      <c r="G79" s="12">
        <v>12.72</v>
      </c>
      <c r="H79" s="63" t="s">
        <v>22</v>
      </c>
      <c r="I79" s="64"/>
    </row>
    <row r="80" spans="1:25" x14ac:dyDescent="0.2">
      <c r="A80" s="12" t="s">
        <v>17</v>
      </c>
      <c r="B80" s="13">
        <v>46079</v>
      </c>
      <c r="C80" s="14">
        <v>7.9829999999999997</v>
      </c>
      <c r="D80" s="14">
        <v>98.516000000000005</v>
      </c>
      <c r="E80" s="12">
        <v>18</v>
      </c>
      <c r="F80" s="12">
        <v>13.441000000000001</v>
      </c>
      <c r="G80" s="12">
        <v>13.119</v>
      </c>
      <c r="H80" s="63" t="s">
        <v>21</v>
      </c>
      <c r="I80" s="64"/>
    </row>
    <row r="81" spans="1:11" x14ac:dyDescent="0.2">
      <c r="A81" s="12" t="s">
        <v>16</v>
      </c>
      <c r="B81" s="13">
        <v>46080</v>
      </c>
      <c r="C81" s="14">
        <v>7.298</v>
      </c>
      <c r="D81" s="14">
        <v>89.751999999999995</v>
      </c>
      <c r="E81" s="12">
        <v>19</v>
      </c>
      <c r="F81" s="12">
        <v>13.097</v>
      </c>
      <c r="G81" s="12">
        <v>12.753</v>
      </c>
      <c r="H81" s="63" t="s">
        <v>21</v>
      </c>
      <c r="I81" s="64"/>
    </row>
    <row r="82" spans="1:11" x14ac:dyDescent="0.2">
      <c r="A82" s="12" t="s">
        <v>45</v>
      </c>
      <c r="B82" s="13">
        <v>46080</v>
      </c>
      <c r="C82" s="14">
        <v>7.375</v>
      </c>
      <c r="D82" s="14">
        <v>90.683999999999997</v>
      </c>
      <c r="E82" s="12">
        <v>18</v>
      </c>
      <c r="F82" s="12">
        <v>12.991</v>
      </c>
      <c r="G82" s="12">
        <v>12.669</v>
      </c>
      <c r="H82" s="63" t="s">
        <v>21</v>
      </c>
      <c r="I82" s="64"/>
    </row>
    <row r="83" spans="1:11" x14ac:dyDescent="0.2">
      <c r="A83" s="12"/>
      <c r="B83" s="13"/>
      <c r="C83" s="14"/>
      <c r="D83" s="14"/>
      <c r="E83" s="12"/>
      <c r="F83" s="12"/>
      <c r="G83" s="12"/>
      <c r="H83" s="63"/>
      <c r="I83" s="64"/>
      <c r="J83" s="63"/>
      <c r="K83" s="64"/>
    </row>
    <row r="84" spans="1:11" x14ac:dyDescent="0.2">
      <c r="A84" s="12"/>
      <c r="B84" s="13"/>
      <c r="C84" s="14"/>
      <c r="D84" s="14"/>
      <c r="E84" s="12"/>
      <c r="F84" s="12"/>
      <c r="G84" s="12"/>
      <c r="H84" s="63"/>
      <c r="I84" s="64"/>
    </row>
    <row r="85" spans="1:11" x14ac:dyDescent="0.2">
      <c r="A85" s="12"/>
      <c r="B85" s="13"/>
      <c r="C85" s="14"/>
      <c r="D85" s="14"/>
      <c r="E85" s="12"/>
      <c r="F85" s="12"/>
      <c r="G85" s="12"/>
      <c r="H85" s="63"/>
      <c r="I85" s="64"/>
    </row>
    <row r="86" spans="1:11" x14ac:dyDescent="0.2">
      <c r="A86" s="12"/>
      <c r="B86" s="13"/>
      <c r="C86" s="14"/>
      <c r="D86" s="14"/>
      <c r="E86" s="12"/>
      <c r="F86" s="12"/>
      <c r="G86" s="12"/>
      <c r="H86" s="63"/>
      <c r="I86" s="64"/>
    </row>
    <row r="87" spans="1:11" x14ac:dyDescent="0.2">
      <c r="A87" s="12"/>
      <c r="B87" s="13"/>
      <c r="C87" s="14"/>
      <c r="D87" s="14"/>
      <c r="E87" s="12"/>
      <c r="F87" s="12"/>
      <c r="G87" s="12"/>
      <c r="H87" s="63"/>
      <c r="I87" s="64"/>
    </row>
    <row r="88" spans="1:11" x14ac:dyDescent="0.2">
      <c r="A88" s="12"/>
      <c r="B88" s="13"/>
      <c r="C88" s="14"/>
      <c r="D88" s="14"/>
      <c r="E88" s="12"/>
      <c r="F88" s="12"/>
      <c r="G88" s="12"/>
      <c r="H88" s="63"/>
      <c r="I88" s="64"/>
    </row>
    <row r="89" spans="1:11" x14ac:dyDescent="0.2">
      <c r="A89" s="12"/>
      <c r="B89" s="13"/>
      <c r="C89" s="14"/>
      <c r="D89" s="14"/>
      <c r="E89" s="12"/>
      <c r="F89" s="12"/>
      <c r="G89" s="12"/>
      <c r="H89" s="63"/>
      <c r="I89" s="64"/>
    </row>
    <row r="90" spans="1:11" x14ac:dyDescent="0.2">
      <c r="A90" s="12"/>
      <c r="B90" s="13"/>
      <c r="C90" s="14"/>
      <c r="D90" s="14"/>
      <c r="E90" s="12"/>
      <c r="F90" s="12"/>
      <c r="G90" s="12"/>
      <c r="H90" s="63"/>
      <c r="I90" s="64"/>
    </row>
    <row r="91" spans="1:11" x14ac:dyDescent="0.2">
      <c r="A91" s="12"/>
      <c r="B91" s="13"/>
      <c r="C91" s="14"/>
      <c r="D91" s="14"/>
      <c r="E91" s="12"/>
      <c r="F91" s="12"/>
      <c r="G91" s="12"/>
      <c r="H91" s="63"/>
      <c r="I91" s="64"/>
    </row>
    <row r="92" spans="1:11" x14ac:dyDescent="0.2">
      <c r="A92" s="12"/>
      <c r="B92" s="13"/>
      <c r="C92" s="14"/>
      <c r="D92" s="14"/>
      <c r="E92" s="12"/>
      <c r="F92" s="12"/>
      <c r="G92" s="12"/>
      <c r="H92" s="63"/>
      <c r="I92" s="64"/>
    </row>
    <row r="93" spans="1:11" x14ac:dyDescent="0.2">
      <c r="A93" s="12"/>
      <c r="B93" s="13"/>
      <c r="C93" s="14"/>
      <c r="D93" s="14"/>
      <c r="E93" s="12"/>
      <c r="F93" s="12"/>
      <c r="G93" s="12"/>
      <c r="H93" s="63"/>
      <c r="I93" s="64"/>
    </row>
    <row r="94" spans="1:11" x14ac:dyDescent="0.2">
      <c r="A94" s="12"/>
      <c r="B94" s="13"/>
      <c r="C94" s="14"/>
      <c r="D94" s="14"/>
      <c r="E94" s="12"/>
      <c r="F94" s="12"/>
      <c r="G94" s="12"/>
      <c r="H94" s="63"/>
      <c r="I94" s="64"/>
    </row>
    <row r="95" spans="1:11" x14ac:dyDescent="0.2">
      <c r="A95" s="12"/>
      <c r="B95" s="13"/>
      <c r="C95" s="14"/>
      <c r="D95" s="14"/>
      <c r="E95" s="12"/>
      <c r="F95" s="12"/>
      <c r="G95" s="12"/>
      <c r="H95" s="63"/>
      <c r="I95" s="64"/>
    </row>
    <row r="96" spans="1:11" x14ac:dyDescent="0.2">
      <c r="A96" s="12"/>
      <c r="B96" s="13"/>
      <c r="C96" s="14"/>
      <c r="D96" s="14"/>
      <c r="E96" s="12"/>
      <c r="F96" s="12"/>
      <c r="G96" s="12"/>
      <c r="H96" s="63"/>
      <c r="I96" s="64"/>
    </row>
    <row r="97" spans="1:9" x14ac:dyDescent="0.2">
      <c r="A97" s="12"/>
      <c r="B97" s="13"/>
      <c r="C97" s="14"/>
      <c r="D97" s="14"/>
      <c r="E97" s="12"/>
      <c r="F97" s="12"/>
      <c r="G97" s="12"/>
      <c r="H97" s="63"/>
      <c r="I97" s="64"/>
    </row>
    <row r="98" spans="1:9" x14ac:dyDescent="0.2">
      <c r="A98" s="12"/>
      <c r="B98" s="13"/>
      <c r="C98" s="14"/>
      <c r="D98" s="14"/>
      <c r="E98" s="12"/>
      <c r="F98" s="12"/>
      <c r="G98" s="12"/>
      <c r="H98" s="63"/>
      <c r="I98" s="64"/>
    </row>
    <row r="99" spans="1:9" x14ac:dyDescent="0.2">
      <c r="A99" s="12"/>
      <c r="B99" s="13"/>
      <c r="C99" s="14"/>
      <c r="D99" s="14"/>
      <c r="E99" s="12"/>
      <c r="F99" s="12"/>
      <c r="G99" s="12"/>
      <c r="H99" s="63"/>
      <c r="I99" s="64"/>
    </row>
    <row r="100" spans="1:9" x14ac:dyDescent="0.2">
      <c r="A100" s="12"/>
      <c r="B100" s="13"/>
      <c r="C100" s="14"/>
      <c r="D100" s="14"/>
      <c r="E100" s="12"/>
      <c r="F100" s="12"/>
      <c r="G100" s="12"/>
      <c r="H100" s="63"/>
      <c r="I100" s="64"/>
    </row>
    <row r="101" spans="1:9" x14ac:dyDescent="0.2">
      <c r="A101" s="12"/>
      <c r="B101" s="13"/>
      <c r="C101" s="14"/>
      <c r="D101" s="14"/>
      <c r="E101" s="12"/>
      <c r="F101" s="12"/>
      <c r="G101" s="12"/>
      <c r="H101" s="63"/>
      <c r="I101" s="64"/>
    </row>
    <row r="102" spans="1:9" ht="15.75" customHeight="1" x14ac:dyDescent="0.15">
      <c r="A102" s="33"/>
      <c r="B102" s="34"/>
      <c r="C102" s="35"/>
      <c r="D102" s="35"/>
    </row>
    <row r="103" spans="1:9" ht="15.75" customHeight="1" x14ac:dyDescent="0.15">
      <c r="A103" s="33"/>
      <c r="B103" s="34"/>
      <c r="C103" s="35"/>
      <c r="D103" s="35"/>
    </row>
    <row r="104" spans="1:9" ht="15.75" customHeight="1" x14ac:dyDescent="0.15">
      <c r="A104" s="33"/>
      <c r="B104" s="34"/>
      <c r="C104" s="35"/>
      <c r="D104" s="35"/>
    </row>
    <row r="105" spans="1:9" ht="15.75" customHeight="1" x14ac:dyDescent="0.15">
      <c r="A105" s="33"/>
      <c r="B105" s="34"/>
      <c r="C105" s="35"/>
      <c r="D105" s="35"/>
    </row>
    <row r="106" spans="1:9" ht="15.75" customHeight="1" x14ac:dyDescent="0.15">
      <c r="A106" s="33"/>
      <c r="B106" s="34"/>
      <c r="C106" s="35"/>
      <c r="D106" s="35"/>
    </row>
    <row r="107" spans="1:9" ht="15.75" customHeight="1" x14ac:dyDescent="0.15">
      <c r="A107" s="33"/>
      <c r="B107" s="34"/>
      <c r="C107" s="35"/>
      <c r="D107" s="35"/>
    </row>
    <row r="108" spans="1:9" ht="15.75" customHeight="1" x14ac:dyDescent="0.15">
      <c r="A108" s="33"/>
      <c r="B108" s="34"/>
      <c r="C108" s="35"/>
      <c r="D108" s="35"/>
    </row>
    <row r="109" spans="1:9" ht="15.75" customHeight="1" x14ac:dyDescent="0.15">
      <c r="A109" s="33"/>
      <c r="B109" s="34"/>
      <c r="C109" s="35"/>
      <c r="D109" s="35"/>
    </row>
    <row r="110" spans="1:9" ht="15.75" customHeight="1" x14ac:dyDescent="0.15">
      <c r="A110" s="33"/>
      <c r="B110" s="34"/>
      <c r="C110" s="35"/>
      <c r="D110" s="35"/>
    </row>
    <row r="111" spans="1:9" ht="15.75" customHeight="1" x14ac:dyDescent="0.15">
      <c r="A111" s="33"/>
      <c r="B111" s="34"/>
      <c r="C111" s="35"/>
      <c r="D111" s="35"/>
    </row>
    <row r="112" spans="1:9" ht="15.75" customHeight="1" x14ac:dyDescent="0.15">
      <c r="A112" s="33"/>
      <c r="B112" s="34"/>
      <c r="C112" s="35"/>
      <c r="D112" s="35"/>
    </row>
    <row r="113" spans="1:4" ht="15.75" customHeight="1" x14ac:dyDescent="0.15">
      <c r="A113" s="33"/>
      <c r="B113" s="34"/>
      <c r="C113" s="35"/>
      <c r="D113" s="35"/>
    </row>
    <row r="114" spans="1:4" ht="15.75" customHeight="1" x14ac:dyDescent="0.15">
      <c r="A114" s="33"/>
      <c r="B114" s="34"/>
      <c r="C114" s="35"/>
      <c r="D114" s="35"/>
    </row>
    <row r="115" spans="1:4" ht="15.75" customHeight="1" x14ac:dyDescent="0.15">
      <c r="A115" s="33"/>
      <c r="B115" s="34"/>
      <c r="C115" s="35"/>
      <c r="D115" s="35"/>
    </row>
    <row r="116" spans="1:4" ht="15.75" customHeight="1" x14ac:dyDescent="0.15">
      <c r="A116" s="33"/>
      <c r="B116" s="34"/>
      <c r="C116" s="35"/>
      <c r="D116" s="35"/>
    </row>
    <row r="117" spans="1:4" ht="15.75" customHeight="1" x14ac:dyDescent="0.15">
      <c r="A117" s="33"/>
      <c r="B117" s="34"/>
      <c r="C117" s="35"/>
      <c r="D117" s="35"/>
    </row>
    <row r="118" spans="1:4" ht="15.75" customHeight="1" x14ac:dyDescent="0.15">
      <c r="A118" s="33"/>
      <c r="B118" s="34"/>
      <c r="C118" s="35"/>
      <c r="D118" s="35"/>
    </row>
    <row r="119" spans="1:4" ht="15.75" customHeight="1" x14ac:dyDescent="0.15">
      <c r="A119" s="33"/>
      <c r="B119" s="34"/>
      <c r="C119" s="35"/>
      <c r="D119" s="35"/>
    </row>
    <row r="120" spans="1:4" ht="15.75" customHeight="1" x14ac:dyDescent="0.15">
      <c r="A120" s="33"/>
      <c r="B120" s="34"/>
      <c r="C120" s="35"/>
      <c r="D120" s="35"/>
    </row>
    <row r="121" spans="1:4" ht="15.75" customHeight="1" x14ac:dyDescent="0.15">
      <c r="A121" s="33"/>
      <c r="B121" s="34"/>
      <c r="C121" s="35"/>
      <c r="D121" s="35"/>
    </row>
    <row r="122" spans="1:4" ht="15.75" customHeight="1" x14ac:dyDescent="0.15">
      <c r="A122" s="33"/>
      <c r="B122" s="34"/>
      <c r="C122" s="35"/>
      <c r="D122" s="35"/>
    </row>
    <row r="123" spans="1:4" ht="15.75" customHeight="1" x14ac:dyDescent="0.15">
      <c r="A123" s="33"/>
      <c r="B123" s="34"/>
      <c r="C123" s="35"/>
      <c r="D123" s="35"/>
    </row>
    <row r="124" spans="1:4" ht="15.75" customHeight="1" x14ac:dyDescent="0.15">
      <c r="A124" s="33"/>
      <c r="B124" s="34"/>
      <c r="C124" s="35"/>
      <c r="D124" s="35"/>
    </row>
    <row r="125" spans="1:4" ht="15.75" customHeight="1" x14ac:dyDescent="0.15">
      <c r="A125" s="33"/>
      <c r="B125" s="34"/>
      <c r="C125" s="35"/>
      <c r="D125" s="35"/>
    </row>
    <row r="126" spans="1:4" ht="15.75" customHeight="1" x14ac:dyDescent="0.15">
      <c r="A126" s="33"/>
      <c r="B126" s="34"/>
      <c r="C126" s="35"/>
      <c r="D126" s="35"/>
    </row>
    <row r="127" spans="1:4" ht="15.75" customHeight="1" x14ac:dyDescent="0.15">
      <c r="A127" s="33"/>
      <c r="B127" s="34"/>
      <c r="C127" s="35"/>
      <c r="D127" s="35"/>
    </row>
    <row r="128" spans="1:4" ht="15.75" customHeight="1" x14ac:dyDescent="0.15">
      <c r="A128" s="33"/>
      <c r="B128" s="34"/>
      <c r="C128" s="35"/>
      <c r="D128" s="35"/>
    </row>
    <row r="129" spans="1:4" ht="15.75" customHeight="1" x14ac:dyDescent="0.15">
      <c r="A129" s="33"/>
      <c r="B129" s="34"/>
      <c r="C129" s="35"/>
      <c r="D129" s="35"/>
    </row>
    <row r="130" spans="1:4" ht="15.75" customHeight="1" x14ac:dyDescent="0.15">
      <c r="A130" s="33"/>
      <c r="B130" s="34"/>
      <c r="C130" s="35"/>
      <c r="D130" s="35"/>
    </row>
    <row r="131" spans="1:4" ht="15.75" customHeight="1" x14ac:dyDescent="0.15">
      <c r="A131" s="33"/>
      <c r="B131" s="34"/>
      <c r="C131" s="35"/>
      <c r="D131" s="35"/>
    </row>
    <row r="132" spans="1:4" ht="15.75" customHeight="1" x14ac:dyDescent="0.15">
      <c r="A132" s="33"/>
      <c r="B132" s="34"/>
      <c r="C132" s="35"/>
      <c r="D132" s="35"/>
    </row>
    <row r="133" spans="1:4" ht="15.75" customHeight="1" x14ac:dyDescent="0.15">
      <c r="A133" s="33"/>
      <c r="B133" s="34"/>
      <c r="C133" s="35"/>
      <c r="D133" s="35"/>
    </row>
    <row r="134" spans="1:4" ht="15.75" customHeight="1" x14ac:dyDescent="0.15">
      <c r="A134" s="33"/>
      <c r="B134" s="34"/>
      <c r="C134" s="35"/>
      <c r="D134" s="35"/>
    </row>
    <row r="135" spans="1:4" ht="15.75" customHeight="1" x14ac:dyDescent="0.15">
      <c r="A135" s="33"/>
      <c r="B135" s="34"/>
      <c r="C135" s="35"/>
      <c r="D135" s="35"/>
    </row>
    <row r="136" spans="1:4" ht="15.75" customHeight="1" x14ac:dyDescent="0.15">
      <c r="A136" s="33"/>
      <c r="B136" s="34"/>
      <c r="C136" s="35"/>
      <c r="D136" s="35"/>
    </row>
    <row r="137" spans="1:4" ht="15.75" customHeight="1" x14ac:dyDescent="0.15">
      <c r="A137" s="33"/>
      <c r="B137" s="34"/>
      <c r="C137" s="35"/>
      <c r="D137" s="35"/>
    </row>
    <row r="138" spans="1:4" ht="15.75" customHeight="1" x14ac:dyDescent="0.15">
      <c r="A138" s="33"/>
      <c r="B138" s="34"/>
      <c r="C138" s="35"/>
      <c r="D138" s="35"/>
    </row>
    <row r="139" spans="1:4" ht="15.75" customHeight="1" x14ac:dyDescent="0.15">
      <c r="A139" s="33"/>
      <c r="B139" s="34"/>
      <c r="C139" s="35"/>
      <c r="D139" s="35"/>
    </row>
    <row r="140" spans="1:4" ht="15.75" customHeight="1" x14ac:dyDescent="0.15">
      <c r="A140" s="33"/>
      <c r="B140" s="34"/>
      <c r="C140" s="35"/>
      <c r="D140" s="35"/>
    </row>
    <row r="141" spans="1:4" ht="15.75" customHeight="1" x14ac:dyDescent="0.15">
      <c r="A141" s="33"/>
      <c r="B141" s="34"/>
      <c r="C141" s="35"/>
      <c r="D141" s="35"/>
    </row>
    <row r="142" spans="1:4" ht="15.75" customHeight="1" x14ac:dyDescent="0.15">
      <c r="A142" s="33"/>
      <c r="B142" s="34"/>
      <c r="C142" s="35"/>
      <c r="D142" s="35"/>
    </row>
    <row r="143" spans="1:4" ht="15.75" customHeight="1" x14ac:dyDescent="0.15">
      <c r="A143" s="33"/>
      <c r="B143" s="34"/>
      <c r="C143" s="35"/>
      <c r="D143" s="35"/>
    </row>
    <row r="144" spans="1:4" ht="15.75" customHeight="1" x14ac:dyDescent="0.15">
      <c r="A144" s="33"/>
      <c r="B144" s="34"/>
      <c r="C144" s="35"/>
      <c r="D144" s="35"/>
    </row>
    <row r="145" spans="1:4" ht="15.75" customHeight="1" x14ac:dyDescent="0.15">
      <c r="A145" s="33"/>
      <c r="B145" s="34"/>
      <c r="C145" s="35"/>
      <c r="D145" s="35"/>
    </row>
    <row r="146" spans="1:4" ht="15.75" customHeight="1" x14ac:dyDescent="0.15">
      <c r="A146" s="33"/>
      <c r="B146" s="34"/>
      <c r="C146" s="35"/>
      <c r="D146" s="35"/>
    </row>
    <row r="147" spans="1:4" ht="15.75" customHeight="1" x14ac:dyDescent="0.15">
      <c r="A147" s="33"/>
      <c r="B147" s="34"/>
      <c r="C147" s="35"/>
      <c r="D147" s="35"/>
    </row>
    <row r="148" spans="1:4" ht="15.75" customHeight="1" x14ac:dyDescent="0.15">
      <c r="A148" s="33"/>
      <c r="B148" s="34"/>
      <c r="C148" s="35"/>
      <c r="D148" s="35"/>
    </row>
    <row r="149" spans="1:4" ht="15.75" customHeight="1" x14ac:dyDescent="0.15">
      <c r="A149" s="33"/>
      <c r="B149" s="34"/>
      <c r="C149" s="35"/>
      <c r="D149" s="35"/>
    </row>
    <row r="150" spans="1:4" ht="15.75" customHeight="1" x14ac:dyDescent="0.15">
      <c r="A150" s="33"/>
      <c r="B150" s="34"/>
      <c r="C150" s="35"/>
      <c r="D150" s="35"/>
    </row>
    <row r="151" spans="1:4" ht="15.75" customHeight="1" x14ac:dyDescent="0.15">
      <c r="A151" s="33"/>
      <c r="B151" s="34"/>
      <c r="C151" s="35"/>
      <c r="D151" s="35"/>
    </row>
    <row r="152" spans="1:4" ht="15.75" customHeight="1" x14ac:dyDescent="0.15">
      <c r="A152" s="33"/>
      <c r="B152" s="34"/>
      <c r="C152" s="35"/>
      <c r="D152" s="35"/>
    </row>
    <row r="153" spans="1:4" ht="15.75" customHeight="1" x14ac:dyDescent="0.15">
      <c r="A153" s="33"/>
      <c r="B153" s="34"/>
      <c r="C153" s="35"/>
      <c r="D153" s="35"/>
    </row>
    <row r="154" spans="1:4" ht="15.75" customHeight="1" x14ac:dyDescent="0.15">
      <c r="A154" s="33"/>
      <c r="B154" s="34"/>
      <c r="C154" s="35"/>
      <c r="D154" s="35"/>
    </row>
    <row r="155" spans="1:4" ht="15.75" customHeight="1" x14ac:dyDescent="0.15">
      <c r="A155" s="33"/>
      <c r="B155" s="34"/>
      <c r="C155" s="35"/>
      <c r="D155" s="35"/>
    </row>
    <row r="156" spans="1:4" ht="15.75" customHeight="1" x14ac:dyDescent="0.15">
      <c r="A156" s="33"/>
      <c r="B156" s="34"/>
      <c r="C156" s="35"/>
      <c r="D156" s="35"/>
    </row>
    <row r="157" spans="1:4" ht="15.75" customHeight="1" x14ac:dyDescent="0.15">
      <c r="A157" s="33"/>
      <c r="B157" s="34"/>
      <c r="C157" s="35"/>
      <c r="D157" s="35"/>
    </row>
    <row r="158" spans="1:4" ht="15.75" customHeight="1" x14ac:dyDescent="0.15">
      <c r="A158" s="33"/>
      <c r="B158" s="34"/>
      <c r="C158" s="35"/>
      <c r="D158" s="35"/>
    </row>
    <row r="159" spans="1:4" ht="15.75" customHeight="1" x14ac:dyDescent="0.15">
      <c r="A159" s="33"/>
      <c r="B159" s="34"/>
      <c r="C159" s="35"/>
      <c r="D159" s="35"/>
    </row>
    <row r="160" spans="1:4" ht="15.75" customHeight="1" x14ac:dyDescent="0.15">
      <c r="A160" s="33"/>
      <c r="B160" s="34"/>
      <c r="C160" s="35"/>
      <c r="D160" s="35"/>
    </row>
    <row r="161" spans="1:4" ht="15.75" customHeight="1" x14ac:dyDescent="0.15">
      <c r="A161" s="33"/>
      <c r="B161" s="34"/>
      <c r="C161" s="35"/>
      <c r="D161" s="35"/>
    </row>
    <row r="162" spans="1:4" ht="15.75" customHeight="1" x14ac:dyDescent="0.15">
      <c r="A162" s="33"/>
      <c r="B162" s="34"/>
      <c r="C162" s="35"/>
      <c r="D162" s="35"/>
    </row>
    <row r="163" spans="1:4" ht="15.75" customHeight="1" x14ac:dyDescent="0.15">
      <c r="A163" s="33"/>
      <c r="B163" s="34"/>
      <c r="C163" s="35"/>
      <c r="D163" s="35"/>
    </row>
    <row r="164" spans="1:4" ht="15.75" customHeight="1" x14ac:dyDescent="0.15">
      <c r="A164" s="33"/>
      <c r="B164" s="34"/>
      <c r="C164" s="35"/>
      <c r="D164" s="35"/>
    </row>
    <row r="165" spans="1:4" ht="15.75" customHeight="1" x14ac:dyDescent="0.15">
      <c r="A165" s="33"/>
      <c r="B165" s="34"/>
      <c r="C165" s="35"/>
      <c r="D165" s="35"/>
    </row>
    <row r="166" spans="1:4" ht="15.75" customHeight="1" x14ac:dyDescent="0.15">
      <c r="A166" s="33"/>
      <c r="B166" s="34"/>
      <c r="C166" s="35"/>
      <c r="D166" s="35"/>
    </row>
    <row r="167" spans="1:4" ht="15.75" customHeight="1" x14ac:dyDescent="0.15">
      <c r="A167" s="33"/>
      <c r="B167" s="34"/>
      <c r="C167" s="35"/>
      <c r="D167" s="35"/>
    </row>
    <row r="168" spans="1:4" ht="15.75" customHeight="1" x14ac:dyDescent="0.15">
      <c r="A168" s="33"/>
      <c r="B168" s="34"/>
      <c r="C168" s="35"/>
      <c r="D168" s="35"/>
    </row>
    <row r="169" spans="1:4" ht="15.75" customHeight="1" x14ac:dyDescent="0.15">
      <c r="A169" s="33"/>
      <c r="B169" s="34"/>
      <c r="C169" s="35"/>
      <c r="D169" s="35"/>
    </row>
    <row r="170" spans="1:4" ht="15.75" customHeight="1" x14ac:dyDescent="0.15">
      <c r="A170" s="33"/>
      <c r="B170" s="34"/>
      <c r="C170" s="35"/>
      <c r="D170" s="35"/>
    </row>
    <row r="171" spans="1:4" ht="15.75" customHeight="1" x14ac:dyDescent="0.15">
      <c r="A171" s="33"/>
      <c r="B171" s="34"/>
      <c r="C171" s="35"/>
      <c r="D171" s="35"/>
    </row>
    <row r="172" spans="1:4" ht="15.75" customHeight="1" x14ac:dyDescent="0.15">
      <c r="A172" s="33"/>
      <c r="B172" s="34"/>
      <c r="C172" s="35"/>
      <c r="D172" s="35"/>
    </row>
    <row r="173" spans="1:4" ht="15.75" customHeight="1" x14ac:dyDescent="0.15">
      <c r="A173" s="33"/>
      <c r="B173" s="34"/>
      <c r="C173" s="35"/>
      <c r="D173" s="35"/>
    </row>
    <row r="174" spans="1:4" ht="15.75" customHeight="1" x14ac:dyDescent="0.15">
      <c r="A174" s="33"/>
      <c r="B174" s="34"/>
      <c r="C174" s="35"/>
      <c r="D174" s="35"/>
    </row>
    <row r="175" spans="1:4" ht="15.75" customHeight="1" x14ac:dyDescent="0.15">
      <c r="A175" s="33"/>
      <c r="B175" s="34"/>
      <c r="C175" s="35"/>
      <c r="D175" s="35"/>
    </row>
    <row r="176" spans="1:4" ht="15.75" customHeight="1" x14ac:dyDescent="0.15">
      <c r="A176" s="33"/>
      <c r="B176" s="34"/>
      <c r="C176" s="35"/>
      <c r="D176" s="35"/>
    </row>
    <row r="177" spans="1:4" ht="15.75" customHeight="1" x14ac:dyDescent="0.15">
      <c r="A177" s="33"/>
      <c r="B177" s="34"/>
      <c r="C177" s="35"/>
      <c r="D177" s="35"/>
    </row>
    <row r="178" spans="1:4" ht="15.75" customHeight="1" x14ac:dyDescent="0.15">
      <c r="A178" s="33"/>
      <c r="B178" s="34"/>
      <c r="C178" s="35"/>
      <c r="D178" s="35"/>
    </row>
    <row r="179" spans="1:4" ht="15.75" customHeight="1" x14ac:dyDescent="0.15">
      <c r="A179" s="33"/>
      <c r="B179" s="34"/>
      <c r="C179" s="35"/>
      <c r="D179" s="35"/>
    </row>
    <row r="180" spans="1:4" ht="15.75" customHeight="1" x14ac:dyDescent="0.15">
      <c r="A180" s="33"/>
      <c r="B180" s="34"/>
      <c r="C180" s="35"/>
      <c r="D180" s="35"/>
    </row>
    <row r="181" spans="1:4" ht="15.75" customHeight="1" x14ac:dyDescent="0.15">
      <c r="A181" s="33"/>
      <c r="B181" s="34"/>
      <c r="C181" s="35"/>
      <c r="D181" s="35"/>
    </row>
    <row r="182" spans="1:4" ht="15.75" customHeight="1" x14ac:dyDescent="0.15">
      <c r="A182" s="33"/>
      <c r="B182" s="34"/>
      <c r="C182" s="35"/>
      <c r="D182" s="35"/>
    </row>
    <row r="183" spans="1:4" ht="15.75" customHeight="1" x14ac:dyDescent="0.15">
      <c r="A183" s="33"/>
      <c r="B183" s="34"/>
      <c r="C183" s="35"/>
      <c r="D183" s="35"/>
    </row>
    <row r="184" spans="1:4" ht="15.75" customHeight="1" x14ac:dyDescent="0.15">
      <c r="A184" s="33"/>
      <c r="B184" s="34"/>
      <c r="C184" s="35"/>
      <c r="D184" s="35"/>
    </row>
    <row r="185" spans="1:4" ht="15.75" customHeight="1" x14ac:dyDescent="0.15">
      <c r="A185" s="33"/>
      <c r="B185" s="34"/>
      <c r="C185" s="35"/>
      <c r="D185" s="35"/>
    </row>
    <row r="186" spans="1:4" ht="15.75" customHeight="1" x14ac:dyDescent="0.15">
      <c r="A186" s="33"/>
      <c r="B186" s="34"/>
      <c r="C186" s="35"/>
      <c r="D186" s="35"/>
    </row>
    <row r="187" spans="1:4" ht="15.75" customHeight="1" x14ac:dyDescent="0.15">
      <c r="A187" s="33"/>
      <c r="B187" s="34"/>
      <c r="C187" s="35"/>
      <c r="D187" s="35"/>
    </row>
    <row r="188" spans="1:4" ht="15.75" customHeight="1" x14ac:dyDescent="0.15">
      <c r="A188" s="33"/>
      <c r="B188" s="34"/>
      <c r="C188" s="35"/>
      <c r="D188" s="35"/>
    </row>
    <row r="189" spans="1:4" ht="15.75" customHeight="1" x14ac:dyDescent="0.15">
      <c r="A189" s="33"/>
      <c r="B189" s="34"/>
      <c r="C189" s="35"/>
      <c r="D189" s="35"/>
    </row>
    <row r="190" spans="1:4" ht="15.75" customHeight="1" x14ac:dyDescent="0.15">
      <c r="A190" s="33"/>
      <c r="B190" s="34"/>
      <c r="C190" s="35"/>
      <c r="D190" s="35"/>
    </row>
    <row r="191" spans="1:4" ht="15.75" customHeight="1" x14ac:dyDescent="0.15">
      <c r="A191" s="33"/>
      <c r="B191" s="34"/>
      <c r="C191" s="35"/>
      <c r="D191" s="35"/>
    </row>
    <row r="192" spans="1:4" ht="15.75" customHeight="1" x14ac:dyDescent="0.15">
      <c r="A192" s="33"/>
      <c r="B192" s="34"/>
      <c r="C192" s="35"/>
      <c r="D192" s="35"/>
    </row>
    <row r="193" spans="1:4" ht="15.75" customHeight="1" x14ac:dyDescent="0.15">
      <c r="A193" s="33"/>
      <c r="B193" s="34"/>
      <c r="C193" s="35"/>
      <c r="D193" s="35"/>
    </row>
    <row r="194" spans="1:4" ht="15.75" customHeight="1" x14ac:dyDescent="0.15">
      <c r="A194" s="33"/>
      <c r="B194" s="34"/>
      <c r="C194" s="35"/>
      <c r="D194" s="35"/>
    </row>
    <row r="195" spans="1:4" ht="15.75" customHeight="1" x14ac:dyDescent="0.15">
      <c r="A195" s="33"/>
      <c r="B195" s="34"/>
      <c r="C195" s="35"/>
      <c r="D195" s="35"/>
    </row>
    <row r="196" spans="1:4" ht="15.75" customHeight="1" x14ac:dyDescent="0.15">
      <c r="A196" s="33"/>
      <c r="B196" s="34"/>
      <c r="C196" s="35"/>
      <c r="D196" s="35"/>
    </row>
    <row r="197" spans="1:4" ht="15.75" customHeight="1" x14ac:dyDescent="0.15">
      <c r="A197" s="33"/>
      <c r="B197" s="34"/>
      <c r="C197" s="35"/>
      <c r="D197" s="35"/>
    </row>
    <row r="198" spans="1:4" ht="15.75" customHeight="1" x14ac:dyDescent="0.15">
      <c r="A198" s="33"/>
      <c r="B198" s="34"/>
      <c r="C198" s="35"/>
      <c r="D198" s="35"/>
    </row>
    <row r="199" spans="1:4" ht="15.75" customHeight="1" x14ac:dyDescent="0.15">
      <c r="A199" s="33"/>
      <c r="B199" s="34"/>
      <c r="C199" s="35"/>
      <c r="D199" s="35"/>
    </row>
    <row r="200" spans="1:4" ht="15.75" customHeight="1" x14ac:dyDescent="0.15">
      <c r="A200" s="33"/>
      <c r="B200" s="34"/>
      <c r="C200" s="35"/>
      <c r="D200" s="35"/>
    </row>
    <row r="201" spans="1:4" ht="15.75" customHeight="1" x14ac:dyDescent="0.15">
      <c r="A201" s="33"/>
      <c r="B201" s="34"/>
      <c r="C201" s="35"/>
      <c r="D201" s="35"/>
    </row>
    <row r="202" spans="1:4" ht="15.75" customHeight="1" x14ac:dyDescent="0.15">
      <c r="A202" s="33"/>
      <c r="B202" s="34"/>
      <c r="C202" s="35"/>
      <c r="D202" s="35"/>
    </row>
    <row r="203" spans="1:4" ht="15.75" customHeight="1" x14ac:dyDescent="0.15">
      <c r="A203" s="33"/>
      <c r="B203" s="34"/>
      <c r="C203" s="35"/>
      <c r="D203" s="35"/>
    </row>
    <row r="204" spans="1:4" ht="15.75" customHeight="1" x14ac:dyDescent="0.15">
      <c r="A204" s="33"/>
      <c r="B204" s="34"/>
      <c r="C204" s="35"/>
      <c r="D204" s="35"/>
    </row>
    <row r="205" spans="1:4" ht="15.75" customHeight="1" x14ac:dyDescent="0.15">
      <c r="A205" s="33"/>
      <c r="B205" s="34"/>
      <c r="C205" s="35"/>
      <c r="D205" s="35"/>
    </row>
    <row r="206" spans="1:4" ht="15.75" customHeight="1" x14ac:dyDescent="0.15">
      <c r="A206" s="33"/>
      <c r="B206" s="34"/>
      <c r="C206" s="35"/>
      <c r="D206" s="35"/>
    </row>
    <row r="207" spans="1:4" ht="15.75" customHeight="1" x14ac:dyDescent="0.15">
      <c r="A207" s="33"/>
      <c r="B207" s="34"/>
      <c r="C207" s="35"/>
      <c r="D207" s="35"/>
    </row>
    <row r="208" spans="1:4" ht="15.75" customHeight="1" x14ac:dyDescent="0.15">
      <c r="A208" s="33"/>
      <c r="B208" s="34"/>
      <c r="C208" s="35"/>
      <c r="D208" s="35"/>
    </row>
    <row r="209" spans="1:4" ht="15.75" customHeight="1" x14ac:dyDescent="0.15">
      <c r="A209" s="33"/>
      <c r="B209" s="34"/>
      <c r="C209" s="35"/>
      <c r="D209" s="35"/>
    </row>
    <row r="210" spans="1:4" ht="15.75" customHeight="1" x14ac:dyDescent="0.15">
      <c r="A210" s="33"/>
      <c r="B210" s="34"/>
      <c r="C210" s="35"/>
      <c r="D210" s="35"/>
    </row>
    <row r="211" spans="1:4" ht="15.75" customHeight="1" x14ac:dyDescent="0.15">
      <c r="A211" s="33"/>
      <c r="B211" s="34"/>
      <c r="C211" s="35"/>
      <c r="D211" s="35"/>
    </row>
    <row r="212" spans="1:4" ht="15.75" customHeight="1" x14ac:dyDescent="0.15">
      <c r="A212" s="33"/>
      <c r="B212" s="34"/>
      <c r="C212" s="35"/>
      <c r="D212" s="35"/>
    </row>
    <row r="213" spans="1:4" ht="15.75" customHeight="1" x14ac:dyDescent="0.15">
      <c r="A213" s="33"/>
      <c r="B213" s="34"/>
      <c r="C213" s="35"/>
      <c r="D213" s="35"/>
    </row>
    <row r="214" spans="1:4" ht="15.75" customHeight="1" x14ac:dyDescent="0.15">
      <c r="A214" s="33"/>
      <c r="B214" s="34"/>
      <c r="C214" s="35"/>
      <c r="D214" s="35"/>
    </row>
    <row r="215" spans="1:4" ht="15.75" customHeight="1" x14ac:dyDescent="0.15">
      <c r="A215" s="33"/>
      <c r="B215" s="34"/>
      <c r="C215" s="35"/>
      <c r="D215" s="35"/>
    </row>
    <row r="216" spans="1:4" ht="15.75" customHeight="1" x14ac:dyDescent="0.15">
      <c r="A216" s="33"/>
      <c r="B216" s="34"/>
      <c r="C216" s="35"/>
      <c r="D216" s="35"/>
    </row>
    <row r="217" spans="1:4" ht="15.75" customHeight="1" x14ac:dyDescent="0.15">
      <c r="A217" s="33"/>
      <c r="B217" s="34"/>
      <c r="C217" s="35"/>
      <c r="D217" s="35"/>
    </row>
    <row r="218" spans="1:4" ht="15.75" customHeight="1" x14ac:dyDescent="0.15">
      <c r="A218" s="33"/>
      <c r="B218" s="34"/>
      <c r="C218" s="35"/>
      <c r="D218" s="35"/>
    </row>
    <row r="219" spans="1:4" ht="15.75" customHeight="1" x14ac:dyDescent="0.15">
      <c r="A219" s="33"/>
      <c r="B219" s="34"/>
      <c r="C219" s="35"/>
      <c r="D219" s="35"/>
    </row>
    <row r="220" spans="1:4" ht="15.75" customHeight="1" x14ac:dyDescent="0.15">
      <c r="A220" s="33"/>
      <c r="B220" s="34"/>
      <c r="C220" s="35"/>
      <c r="D220" s="35"/>
    </row>
    <row r="221" spans="1:4" ht="15.75" customHeight="1" x14ac:dyDescent="0.15">
      <c r="A221" s="33"/>
      <c r="B221" s="34"/>
      <c r="C221" s="35"/>
      <c r="D221" s="35"/>
    </row>
    <row r="222" spans="1:4" ht="15.75" customHeight="1" x14ac:dyDescent="0.15">
      <c r="A222" s="33"/>
      <c r="B222" s="34"/>
      <c r="C222" s="35"/>
      <c r="D222" s="35"/>
    </row>
    <row r="223" spans="1:4" ht="15.75" customHeight="1" x14ac:dyDescent="0.15">
      <c r="A223" s="33"/>
      <c r="B223" s="34"/>
      <c r="C223" s="35"/>
      <c r="D223" s="35"/>
    </row>
    <row r="224" spans="1:4" ht="15.75" customHeight="1" x14ac:dyDescent="0.15">
      <c r="A224" s="33"/>
      <c r="B224" s="34"/>
      <c r="C224" s="35"/>
      <c r="D224" s="35"/>
    </row>
    <row r="225" spans="1:4" ht="15.75" customHeight="1" x14ac:dyDescent="0.15">
      <c r="A225" s="33"/>
      <c r="B225" s="34"/>
      <c r="C225" s="35"/>
      <c r="D225" s="35"/>
    </row>
    <row r="226" spans="1:4" ht="15.75" customHeight="1" x14ac:dyDescent="0.15">
      <c r="A226" s="33"/>
      <c r="B226" s="34"/>
      <c r="C226" s="35"/>
      <c r="D226" s="35"/>
    </row>
    <row r="227" spans="1:4" ht="15.75" customHeight="1" x14ac:dyDescent="0.15">
      <c r="A227" s="33"/>
      <c r="B227" s="34"/>
      <c r="C227" s="35"/>
      <c r="D227" s="35"/>
    </row>
    <row r="228" spans="1:4" ht="15.75" customHeight="1" x14ac:dyDescent="0.15">
      <c r="A228" s="33"/>
      <c r="B228" s="34"/>
      <c r="C228" s="35"/>
      <c r="D228" s="35"/>
    </row>
    <row r="229" spans="1:4" ht="15.75" customHeight="1" x14ac:dyDescent="0.15">
      <c r="A229" s="33"/>
      <c r="B229" s="34"/>
      <c r="C229" s="35"/>
      <c r="D229" s="35"/>
    </row>
    <row r="230" spans="1:4" ht="15.75" customHeight="1" x14ac:dyDescent="0.15">
      <c r="A230" s="33"/>
      <c r="B230" s="34"/>
      <c r="C230" s="35"/>
      <c r="D230" s="35"/>
    </row>
    <row r="231" spans="1:4" ht="15.75" customHeight="1" x14ac:dyDescent="0.15">
      <c r="A231" s="33"/>
      <c r="B231" s="34"/>
      <c r="C231" s="35"/>
      <c r="D231" s="35"/>
    </row>
    <row r="232" spans="1:4" ht="15.75" customHeight="1" x14ac:dyDescent="0.15">
      <c r="A232" s="33"/>
      <c r="B232" s="34"/>
      <c r="C232" s="35"/>
      <c r="D232" s="35"/>
    </row>
    <row r="233" spans="1:4" ht="15.75" customHeight="1" x14ac:dyDescent="0.15">
      <c r="A233" s="33"/>
      <c r="B233" s="34"/>
      <c r="C233" s="35"/>
      <c r="D233" s="35"/>
    </row>
    <row r="234" spans="1:4" ht="15.75" customHeight="1" x14ac:dyDescent="0.15">
      <c r="A234" s="33"/>
      <c r="B234" s="34"/>
      <c r="C234" s="35"/>
      <c r="D234" s="35"/>
    </row>
    <row r="235" spans="1:4" ht="15.75" customHeight="1" x14ac:dyDescent="0.15">
      <c r="A235" s="33"/>
      <c r="B235" s="34"/>
      <c r="C235" s="35"/>
      <c r="D235" s="35"/>
    </row>
    <row r="236" spans="1:4" ht="15.75" customHeight="1" x14ac:dyDescent="0.15">
      <c r="A236" s="33"/>
      <c r="B236" s="34"/>
      <c r="C236" s="35"/>
      <c r="D236" s="35"/>
    </row>
    <row r="237" spans="1:4" ht="15.75" customHeight="1" x14ac:dyDescent="0.15">
      <c r="A237" s="33"/>
      <c r="B237" s="34"/>
      <c r="C237" s="35"/>
      <c r="D237" s="35"/>
    </row>
    <row r="238" spans="1:4" ht="15.75" customHeight="1" x14ac:dyDescent="0.15">
      <c r="A238" s="33"/>
      <c r="B238" s="34"/>
      <c r="C238" s="35"/>
      <c r="D238" s="35"/>
    </row>
    <row r="239" spans="1:4" ht="15.75" customHeight="1" x14ac:dyDescent="0.15">
      <c r="A239" s="33"/>
      <c r="B239" s="34"/>
      <c r="C239" s="35"/>
      <c r="D239" s="35"/>
    </row>
    <row r="240" spans="1:4" ht="15.75" customHeight="1" x14ac:dyDescent="0.15">
      <c r="A240" s="33"/>
      <c r="B240" s="34"/>
      <c r="C240" s="35"/>
      <c r="D240" s="35"/>
    </row>
    <row r="241" spans="1:4" ht="15.75" customHeight="1" x14ac:dyDescent="0.15">
      <c r="A241" s="33"/>
      <c r="B241" s="34"/>
      <c r="C241" s="35"/>
      <c r="D241" s="35"/>
    </row>
    <row r="242" spans="1:4" ht="15.75" customHeight="1" x14ac:dyDescent="0.15">
      <c r="A242" s="33"/>
      <c r="B242" s="34"/>
      <c r="C242" s="35"/>
      <c r="D242" s="35"/>
    </row>
    <row r="243" spans="1:4" ht="15.75" customHeight="1" x14ac:dyDescent="0.15">
      <c r="A243" s="33"/>
      <c r="B243" s="34"/>
      <c r="C243" s="35"/>
      <c r="D243" s="35"/>
    </row>
    <row r="244" spans="1:4" ht="15.75" customHeight="1" x14ac:dyDescent="0.15">
      <c r="A244" s="33"/>
      <c r="B244" s="34"/>
      <c r="C244" s="35"/>
      <c r="D244" s="35"/>
    </row>
    <row r="245" spans="1:4" ht="15.75" customHeight="1" x14ac:dyDescent="0.15">
      <c r="A245" s="33"/>
      <c r="B245" s="34"/>
      <c r="C245" s="35"/>
      <c r="D245" s="35"/>
    </row>
    <row r="246" spans="1:4" ht="15.75" customHeight="1" x14ac:dyDescent="0.15">
      <c r="A246" s="33"/>
      <c r="B246" s="34"/>
      <c r="C246" s="35"/>
      <c r="D246" s="35"/>
    </row>
    <row r="247" spans="1:4" ht="15.75" customHeight="1" x14ac:dyDescent="0.15">
      <c r="A247" s="33"/>
      <c r="B247" s="34"/>
      <c r="C247" s="35"/>
      <c r="D247" s="35"/>
    </row>
    <row r="248" spans="1:4" ht="15.75" customHeight="1" x14ac:dyDescent="0.15">
      <c r="A248" s="33"/>
      <c r="B248" s="34"/>
      <c r="C248" s="35"/>
      <c r="D248" s="35"/>
    </row>
    <row r="249" spans="1:4" ht="15.75" customHeight="1" x14ac:dyDescent="0.15">
      <c r="A249" s="33"/>
      <c r="B249" s="34"/>
      <c r="C249" s="35"/>
      <c r="D249" s="35"/>
    </row>
    <row r="250" spans="1:4" ht="15.75" customHeight="1" x14ac:dyDescent="0.15">
      <c r="A250" s="33"/>
      <c r="B250" s="34"/>
      <c r="C250" s="35"/>
      <c r="D250" s="35"/>
    </row>
    <row r="251" spans="1:4" ht="15.75" customHeight="1" x14ac:dyDescent="0.15">
      <c r="A251" s="33"/>
      <c r="B251" s="34"/>
      <c r="C251" s="35"/>
      <c r="D251" s="35"/>
    </row>
    <row r="252" spans="1:4" ht="15.75" customHeight="1" x14ac:dyDescent="0.15">
      <c r="A252" s="33"/>
      <c r="B252" s="34"/>
      <c r="C252" s="35"/>
      <c r="D252" s="35"/>
    </row>
    <row r="253" spans="1:4" ht="15.75" customHeight="1" x14ac:dyDescent="0.15">
      <c r="A253" s="33"/>
      <c r="B253" s="34"/>
      <c r="C253" s="35"/>
      <c r="D253" s="35"/>
    </row>
    <row r="254" spans="1:4" ht="15.75" customHeight="1" x14ac:dyDescent="0.15">
      <c r="A254" s="33"/>
      <c r="B254" s="34"/>
      <c r="C254" s="35"/>
      <c r="D254" s="35"/>
    </row>
    <row r="255" spans="1:4" ht="15.75" customHeight="1" x14ac:dyDescent="0.15">
      <c r="A255" s="33"/>
      <c r="B255" s="34"/>
      <c r="C255" s="35"/>
      <c r="D255" s="35"/>
    </row>
    <row r="256" spans="1:4" ht="15.75" customHeight="1" x14ac:dyDescent="0.15">
      <c r="A256" s="33"/>
      <c r="B256" s="34"/>
      <c r="C256" s="35"/>
      <c r="D256" s="35"/>
    </row>
    <row r="257" spans="1:4" ht="15.75" customHeight="1" x14ac:dyDescent="0.15">
      <c r="A257" s="33"/>
      <c r="B257" s="34"/>
      <c r="C257" s="35"/>
      <c r="D257" s="35"/>
    </row>
    <row r="258" spans="1:4" ht="15.75" customHeight="1" x14ac:dyDescent="0.15">
      <c r="A258" s="33"/>
      <c r="B258" s="34"/>
      <c r="C258" s="35"/>
      <c r="D258" s="35"/>
    </row>
    <row r="259" spans="1:4" ht="15.75" customHeight="1" x14ac:dyDescent="0.15">
      <c r="A259" s="33"/>
      <c r="B259" s="34"/>
      <c r="C259" s="35"/>
      <c r="D259" s="35"/>
    </row>
    <row r="260" spans="1:4" ht="15.75" customHeight="1" x14ac:dyDescent="0.15">
      <c r="A260" s="33"/>
      <c r="B260" s="34"/>
      <c r="C260" s="35"/>
      <c r="D260" s="35"/>
    </row>
    <row r="261" spans="1:4" ht="15.75" customHeight="1" x14ac:dyDescent="0.15">
      <c r="A261" s="33"/>
      <c r="B261" s="34"/>
      <c r="C261" s="35"/>
      <c r="D261" s="35"/>
    </row>
    <row r="262" spans="1:4" ht="15.75" customHeight="1" x14ac:dyDescent="0.15">
      <c r="A262" s="33"/>
      <c r="B262" s="34"/>
      <c r="C262" s="35"/>
      <c r="D262" s="35"/>
    </row>
    <row r="263" spans="1:4" ht="15.75" customHeight="1" x14ac:dyDescent="0.15">
      <c r="A263" s="33"/>
      <c r="B263" s="34"/>
      <c r="C263" s="35"/>
      <c r="D263" s="35"/>
    </row>
    <row r="264" spans="1:4" ht="15.75" customHeight="1" x14ac:dyDescent="0.15">
      <c r="A264" s="33"/>
      <c r="B264" s="34"/>
      <c r="C264" s="35"/>
      <c r="D264" s="35"/>
    </row>
    <row r="265" spans="1:4" ht="15.75" customHeight="1" x14ac:dyDescent="0.15">
      <c r="A265" s="33"/>
      <c r="B265" s="34"/>
      <c r="C265" s="35"/>
      <c r="D265" s="35"/>
    </row>
    <row r="266" spans="1:4" ht="15.75" customHeight="1" x14ac:dyDescent="0.15">
      <c r="A266" s="33"/>
      <c r="B266" s="34"/>
      <c r="C266" s="35"/>
      <c r="D266" s="35"/>
    </row>
    <row r="267" spans="1:4" ht="15.75" customHeight="1" x14ac:dyDescent="0.15">
      <c r="A267" s="33"/>
      <c r="B267" s="34"/>
      <c r="C267" s="35"/>
      <c r="D267" s="35"/>
    </row>
    <row r="268" spans="1:4" ht="15.75" customHeight="1" x14ac:dyDescent="0.15">
      <c r="A268" s="33"/>
      <c r="B268" s="34"/>
      <c r="C268" s="35"/>
      <c r="D268" s="35"/>
    </row>
    <row r="269" spans="1:4" ht="15.75" customHeight="1" x14ac:dyDescent="0.15">
      <c r="A269" s="33"/>
      <c r="B269" s="34"/>
      <c r="C269" s="35"/>
      <c r="D269" s="35"/>
    </row>
    <row r="270" spans="1:4" ht="15.75" customHeight="1" x14ac:dyDescent="0.15">
      <c r="A270" s="33"/>
      <c r="B270" s="34"/>
      <c r="C270" s="35"/>
      <c r="D270" s="35"/>
    </row>
    <row r="271" spans="1:4" ht="15.75" customHeight="1" x14ac:dyDescent="0.15">
      <c r="A271" s="33"/>
      <c r="B271" s="34"/>
      <c r="C271" s="35"/>
      <c r="D271" s="35"/>
    </row>
    <row r="272" spans="1:4" ht="15.75" customHeight="1" x14ac:dyDescent="0.15">
      <c r="A272" s="33"/>
      <c r="B272" s="34"/>
      <c r="C272" s="35"/>
      <c r="D272" s="35"/>
    </row>
    <row r="273" spans="1:4" ht="15.75" customHeight="1" x14ac:dyDescent="0.15">
      <c r="A273" s="33"/>
      <c r="B273" s="34"/>
      <c r="C273" s="35"/>
      <c r="D273" s="35"/>
    </row>
    <row r="274" spans="1:4" ht="15.75" customHeight="1" x14ac:dyDescent="0.15">
      <c r="A274" s="33"/>
      <c r="B274" s="34"/>
      <c r="C274" s="35"/>
      <c r="D274" s="35"/>
    </row>
    <row r="275" spans="1:4" ht="15.75" customHeight="1" x14ac:dyDescent="0.15">
      <c r="A275" s="33"/>
      <c r="B275" s="34"/>
      <c r="C275" s="35"/>
      <c r="D275" s="35"/>
    </row>
    <row r="276" spans="1:4" ht="15.75" customHeight="1" x14ac:dyDescent="0.15">
      <c r="A276" s="33"/>
      <c r="B276" s="34"/>
      <c r="C276" s="35"/>
      <c r="D276" s="35"/>
    </row>
    <row r="277" spans="1:4" ht="15.75" customHeight="1" x14ac:dyDescent="0.15">
      <c r="A277" s="33"/>
      <c r="B277" s="34"/>
      <c r="C277" s="35"/>
      <c r="D277" s="35"/>
    </row>
    <row r="278" spans="1:4" ht="15.75" customHeight="1" x14ac:dyDescent="0.15">
      <c r="A278" s="33"/>
      <c r="B278" s="34"/>
      <c r="C278" s="35"/>
      <c r="D278" s="35"/>
    </row>
    <row r="279" spans="1:4" ht="15.75" customHeight="1" x14ac:dyDescent="0.15">
      <c r="A279" s="33"/>
      <c r="B279" s="34"/>
      <c r="C279" s="35"/>
      <c r="D279" s="35"/>
    </row>
    <row r="280" spans="1:4" ht="15.75" customHeight="1" x14ac:dyDescent="0.15">
      <c r="A280" s="33"/>
      <c r="B280" s="34"/>
      <c r="C280" s="35"/>
      <c r="D280" s="35"/>
    </row>
    <row r="281" spans="1:4" ht="15.75" customHeight="1" x14ac:dyDescent="0.15">
      <c r="A281" s="33"/>
      <c r="B281" s="34"/>
      <c r="C281" s="35"/>
      <c r="D281" s="35"/>
    </row>
    <row r="282" spans="1:4" ht="15.75" customHeight="1" x14ac:dyDescent="0.15">
      <c r="A282" s="33"/>
      <c r="B282" s="34"/>
      <c r="C282" s="35"/>
      <c r="D282" s="35"/>
    </row>
    <row r="283" spans="1:4" ht="15.75" customHeight="1" x14ac:dyDescent="0.15">
      <c r="A283" s="33"/>
      <c r="B283" s="34"/>
      <c r="C283" s="35"/>
      <c r="D283" s="35"/>
    </row>
    <row r="284" spans="1:4" ht="15.75" customHeight="1" x14ac:dyDescent="0.15">
      <c r="A284" s="33"/>
      <c r="B284" s="34"/>
      <c r="C284" s="35"/>
      <c r="D284" s="35"/>
    </row>
    <row r="285" spans="1:4" ht="15.75" customHeight="1" x14ac:dyDescent="0.15">
      <c r="A285" s="33"/>
      <c r="B285" s="34"/>
      <c r="C285" s="35"/>
      <c r="D285" s="35"/>
    </row>
    <row r="286" spans="1:4" ht="15.75" customHeight="1" x14ac:dyDescent="0.15">
      <c r="A286" s="33"/>
      <c r="B286" s="34"/>
      <c r="C286" s="35"/>
      <c r="D286" s="35"/>
    </row>
    <row r="287" spans="1:4" ht="15.75" customHeight="1" x14ac:dyDescent="0.15">
      <c r="A287" s="33"/>
      <c r="B287" s="34"/>
      <c r="C287" s="35"/>
      <c r="D287" s="35"/>
    </row>
    <row r="288" spans="1:4" ht="15.75" customHeight="1" x14ac:dyDescent="0.15">
      <c r="A288" s="33"/>
      <c r="B288" s="34"/>
      <c r="C288" s="35"/>
      <c r="D288" s="35"/>
    </row>
    <row r="289" spans="1:4" ht="15.75" customHeight="1" x14ac:dyDescent="0.15">
      <c r="A289" s="33"/>
      <c r="B289" s="34"/>
      <c r="C289" s="35"/>
      <c r="D289" s="35"/>
    </row>
    <row r="290" spans="1:4" ht="15.75" customHeight="1" x14ac:dyDescent="0.15">
      <c r="A290" s="33"/>
      <c r="B290" s="34"/>
      <c r="C290" s="35"/>
      <c r="D290" s="35"/>
    </row>
    <row r="291" spans="1:4" ht="15.75" customHeight="1" x14ac:dyDescent="0.15">
      <c r="A291" s="33"/>
      <c r="B291" s="34"/>
      <c r="C291" s="35"/>
      <c r="D291" s="35"/>
    </row>
    <row r="292" spans="1:4" ht="15.75" customHeight="1" x14ac:dyDescent="0.15">
      <c r="A292" s="33"/>
      <c r="B292" s="34"/>
      <c r="C292" s="35"/>
      <c r="D292" s="35"/>
    </row>
    <row r="293" spans="1:4" ht="15.75" customHeight="1" x14ac:dyDescent="0.15">
      <c r="A293" s="33"/>
      <c r="B293" s="34"/>
      <c r="C293" s="35"/>
      <c r="D293" s="35"/>
    </row>
    <row r="294" spans="1:4" ht="15.75" customHeight="1" x14ac:dyDescent="0.15">
      <c r="A294" s="33"/>
      <c r="B294" s="34"/>
      <c r="C294" s="35"/>
      <c r="D294" s="35"/>
    </row>
    <row r="295" spans="1:4" ht="15.75" customHeight="1" x14ac:dyDescent="0.15">
      <c r="A295" s="33"/>
      <c r="B295" s="34"/>
      <c r="C295" s="35"/>
      <c r="D295" s="35"/>
    </row>
    <row r="296" spans="1:4" ht="15.75" customHeight="1" x14ac:dyDescent="0.15">
      <c r="A296" s="33"/>
      <c r="B296" s="34"/>
      <c r="C296" s="35"/>
      <c r="D296" s="35"/>
    </row>
    <row r="297" spans="1:4" ht="15.75" customHeight="1" x14ac:dyDescent="0.15">
      <c r="A297" s="33"/>
      <c r="B297" s="34"/>
      <c r="C297" s="35"/>
      <c r="D297" s="35"/>
    </row>
    <row r="298" spans="1:4" ht="15.75" customHeight="1" x14ac:dyDescent="0.15">
      <c r="A298" s="33"/>
      <c r="B298" s="34"/>
      <c r="C298" s="35"/>
      <c r="D298" s="35"/>
    </row>
    <row r="299" spans="1:4" ht="15.75" customHeight="1" x14ac:dyDescent="0.15">
      <c r="A299" s="33"/>
      <c r="B299" s="34"/>
      <c r="C299" s="35"/>
      <c r="D299" s="35"/>
    </row>
    <row r="300" spans="1:4" ht="15.75" customHeight="1" x14ac:dyDescent="0.15">
      <c r="A300" s="33"/>
      <c r="B300" s="34"/>
      <c r="C300" s="35"/>
      <c r="D300" s="35"/>
    </row>
    <row r="301" spans="1:4" ht="15.75" customHeight="1" x14ac:dyDescent="0.15">
      <c r="A301" s="33"/>
      <c r="B301" s="34"/>
      <c r="C301" s="35"/>
      <c r="D301" s="35"/>
    </row>
    <row r="302" spans="1:4" ht="15.75" customHeight="1" x14ac:dyDescent="0.15">
      <c r="A302" s="33"/>
      <c r="B302" s="34"/>
      <c r="C302" s="35"/>
      <c r="D302" s="35"/>
    </row>
    <row r="303" spans="1:4" ht="15.75" customHeight="1" x14ac:dyDescent="0.15">
      <c r="A303" s="33"/>
      <c r="B303" s="34"/>
      <c r="C303" s="35"/>
      <c r="D303" s="35"/>
    </row>
    <row r="304" spans="1:4" ht="15.75" customHeight="1" x14ac:dyDescent="0.15">
      <c r="A304" s="33"/>
      <c r="B304" s="34"/>
      <c r="C304" s="35"/>
      <c r="D304" s="35"/>
    </row>
    <row r="305" spans="1:4" ht="15.75" customHeight="1" x14ac:dyDescent="0.15">
      <c r="A305" s="33"/>
      <c r="B305" s="34"/>
      <c r="C305" s="35"/>
      <c r="D305" s="35"/>
    </row>
    <row r="306" spans="1:4" ht="15.75" customHeight="1" x14ac:dyDescent="0.15">
      <c r="A306" s="33"/>
      <c r="B306" s="34"/>
      <c r="C306" s="35"/>
      <c r="D306" s="35"/>
    </row>
    <row r="307" spans="1:4" ht="15.75" customHeight="1" x14ac:dyDescent="0.15">
      <c r="A307" s="33"/>
      <c r="B307" s="34"/>
      <c r="C307" s="35"/>
      <c r="D307" s="35"/>
    </row>
    <row r="308" spans="1:4" ht="15.75" customHeight="1" x14ac:dyDescent="0.15">
      <c r="A308" s="33"/>
      <c r="B308" s="34"/>
      <c r="C308" s="35"/>
      <c r="D308" s="35"/>
    </row>
    <row r="309" spans="1:4" ht="15.75" customHeight="1" x14ac:dyDescent="0.15">
      <c r="A309" s="33"/>
      <c r="B309" s="34"/>
      <c r="C309" s="35"/>
      <c r="D309" s="35"/>
    </row>
    <row r="310" spans="1:4" ht="15.75" customHeight="1" x14ac:dyDescent="0.15">
      <c r="A310" s="33"/>
      <c r="B310" s="34"/>
      <c r="C310" s="35"/>
      <c r="D310" s="35"/>
    </row>
    <row r="311" spans="1:4" ht="15.75" customHeight="1" x14ac:dyDescent="0.15">
      <c r="A311" s="33"/>
      <c r="B311" s="34"/>
      <c r="C311" s="35"/>
      <c r="D311" s="35"/>
    </row>
    <row r="312" spans="1:4" ht="15.75" customHeight="1" x14ac:dyDescent="0.15">
      <c r="A312" s="33"/>
      <c r="B312" s="34"/>
      <c r="C312" s="35"/>
      <c r="D312" s="35"/>
    </row>
    <row r="313" spans="1:4" ht="15.75" customHeight="1" x14ac:dyDescent="0.15">
      <c r="A313" s="33"/>
      <c r="B313" s="34"/>
      <c r="C313" s="35"/>
      <c r="D313" s="35"/>
    </row>
    <row r="314" spans="1:4" ht="15.75" customHeight="1" x14ac:dyDescent="0.15">
      <c r="A314" s="33"/>
      <c r="B314" s="34"/>
      <c r="C314" s="35"/>
      <c r="D314" s="35"/>
    </row>
    <row r="315" spans="1:4" ht="15.75" customHeight="1" x14ac:dyDescent="0.15">
      <c r="A315" s="33"/>
      <c r="B315" s="34"/>
      <c r="C315" s="35"/>
      <c r="D315" s="35"/>
    </row>
    <row r="316" spans="1:4" ht="15.75" customHeight="1" x14ac:dyDescent="0.15">
      <c r="A316" s="33"/>
      <c r="B316" s="34"/>
      <c r="C316" s="35"/>
      <c r="D316" s="35"/>
    </row>
    <row r="317" spans="1:4" ht="15.75" customHeight="1" x14ac:dyDescent="0.15">
      <c r="A317" s="33"/>
      <c r="B317" s="34"/>
      <c r="C317" s="35"/>
      <c r="D317" s="35"/>
    </row>
    <row r="318" spans="1:4" ht="15.75" customHeight="1" x14ac:dyDescent="0.15">
      <c r="A318" s="33"/>
      <c r="B318" s="34"/>
      <c r="C318" s="35"/>
      <c r="D318" s="35"/>
    </row>
    <row r="319" spans="1:4" ht="15.75" customHeight="1" x14ac:dyDescent="0.15">
      <c r="A319" s="33"/>
      <c r="B319" s="34"/>
      <c r="C319" s="35"/>
      <c r="D319" s="35"/>
    </row>
    <row r="320" spans="1:4" ht="15.75" customHeight="1" x14ac:dyDescent="0.15">
      <c r="A320" s="33"/>
      <c r="B320" s="34"/>
      <c r="C320" s="35"/>
      <c r="D320" s="35"/>
    </row>
    <row r="321" spans="1:4" ht="15.75" customHeight="1" x14ac:dyDescent="0.15">
      <c r="A321" s="33"/>
      <c r="B321" s="34"/>
      <c r="C321" s="35"/>
      <c r="D321" s="35"/>
    </row>
    <row r="322" spans="1:4" ht="15.75" customHeight="1" x14ac:dyDescent="0.15">
      <c r="A322" s="33"/>
      <c r="B322" s="34"/>
      <c r="C322" s="35"/>
      <c r="D322" s="35"/>
    </row>
    <row r="323" spans="1:4" ht="15.75" customHeight="1" x14ac:dyDescent="0.15">
      <c r="A323" s="33"/>
      <c r="B323" s="34"/>
      <c r="C323" s="35"/>
      <c r="D323" s="35"/>
    </row>
    <row r="324" spans="1:4" ht="15.75" customHeight="1" x14ac:dyDescent="0.15">
      <c r="A324" s="33"/>
      <c r="B324" s="34"/>
      <c r="C324" s="35"/>
      <c r="D324" s="35"/>
    </row>
    <row r="325" spans="1:4" ht="15.75" customHeight="1" x14ac:dyDescent="0.15">
      <c r="A325" s="33"/>
      <c r="B325" s="34"/>
      <c r="C325" s="35"/>
      <c r="D325" s="35"/>
    </row>
    <row r="326" spans="1:4" ht="15.75" customHeight="1" x14ac:dyDescent="0.15">
      <c r="A326" s="33"/>
      <c r="B326" s="34"/>
      <c r="C326" s="35"/>
      <c r="D326" s="35"/>
    </row>
    <row r="327" spans="1:4" ht="15.75" customHeight="1" x14ac:dyDescent="0.15">
      <c r="A327" s="33"/>
      <c r="B327" s="34"/>
      <c r="C327" s="35"/>
      <c r="D327" s="35"/>
    </row>
    <row r="328" spans="1:4" ht="15.75" customHeight="1" x14ac:dyDescent="0.15">
      <c r="A328" s="33"/>
      <c r="B328" s="34"/>
      <c r="C328" s="35"/>
      <c r="D328" s="35"/>
    </row>
    <row r="329" spans="1:4" ht="15.75" customHeight="1" x14ac:dyDescent="0.15">
      <c r="A329" s="33"/>
      <c r="B329" s="34"/>
      <c r="C329" s="35"/>
      <c r="D329" s="35"/>
    </row>
    <row r="330" spans="1:4" ht="15.75" customHeight="1" x14ac:dyDescent="0.15">
      <c r="A330" s="33"/>
      <c r="B330" s="34"/>
      <c r="C330" s="35"/>
      <c r="D330" s="35"/>
    </row>
    <row r="331" spans="1:4" ht="15.75" customHeight="1" x14ac:dyDescent="0.15">
      <c r="A331" s="33"/>
      <c r="B331" s="34"/>
      <c r="C331" s="35"/>
      <c r="D331" s="35"/>
    </row>
    <row r="332" spans="1:4" ht="15.75" customHeight="1" x14ac:dyDescent="0.15">
      <c r="A332" s="33"/>
      <c r="B332" s="34"/>
      <c r="C332" s="35"/>
      <c r="D332" s="35"/>
    </row>
    <row r="333" spans="1:4" ht="15.75" customHeight="1" x14ac:dyDescent="0.15">
      <c r="A333" s="33"/>
      <c r="B333" s="34"/>
      <c r="C333" s="35"/>
      <c r="D333" s="35"/>
    </row>
    <row r="334" spans="1:4" ht="15.75" customHeight="1" x14ac:dyDescent="0.15">
      <c r="A334" s="33"/>
      <c r="B334" s="34"/>
      <c r="C334" s="35"/>
      <c r="D334" s="35"/>
    </row>
    <row r="335" spans="1:4" ht="15.75" customHeight="1" x14ac:dyDescent="0.15">
      <c r="A335" s="33"/>
      <c r="B335" s="34"/>
      <c r="C335" s="35"/>
      <c r="D335" s="35"/>
    </row>
    <row r="336" spans="1:4" ht="15.75" customHeight="1" x14ac:dyDescent="0.15">
      <c r="A336" s="33"/>
      <c r="B336" s="34"/>
      <c r="C336" s="35"/>
      <c r="D336" s="35"/>
    </row>
    <row r="337" spans="1:4" ht="15.75" customHeight="1" x14ac:dyDescent="0.15">
      <c r="A337" s="33"/>
      <c r="B337" s="34"/>
      <c r="C337" s="35"/>
      <c r="D337" s="35"/>
    </row>
    <row r="338" spans="1:4" ht="15.75" customHeight="1" x14ac:dyDescent="0.15">
      <c r="A338" s="33"/>
      <c r="B338" s="34"/>
      <c r="C338" s="35"/>
      <c r="D338" s="35"/>
    </row>
    <row r="339" spans="1:4" ht="15.75" customHeight="1" x14ac:dyDescent="0.15">
      <c r="A339" s="33"/>
      <c r="B339" s="34"/>
      <c r="C339" s="35"/>
      <c r="D339" s="35"/>
    </row>
    <row r="340" spans="1:4" ht="15.75" customHeight="1" x14ac:dyDescent="0.15">
      <c r="A340" s="33"/>
      <c r="B340" s="34"/>
      <c r="C340" s="35"/>
      <c r="D340" s="35"/>
    </row>
    <row r="341" spans="1:4" ht="15.75" customHeight="1" x14ac:dyDescent="0.15">
      <c r="A341" s="33"/>
      <c r="B341" s="34"/>
      <c r="C341" s="35"/>
      <c r="D341" s="35"/>
    </row>
    <row r="342" spans="1:4" ht="15.75" customHeight="1" x14ac:dyDescent="0.15">
      <c r="A342" s="33"/>
      <c r="B342" s="34"/>
      <c r="C342" s="35"/>
      <c r="D342" s="35"/>
    </row>
    <row r="343" spans="1:4" ht="15.75" customHeight="1" x14ac:dyDescent="0.15">
      <c r="A343" s="33"/>
      <c r="B343" s="34"/>
      <c r="C343" s="35"/>
      <c r="D343" s="35"/>
    </row>
    <row r="344" spans="1:4" ht="15.75" customHeight="1" x14ac:dyDescent="0.15">
      <c r="A344" s="33"/>
      <c r="B344" s="34"/>
      <c r="C344" s="35"/>
      <c r="D344" s="35"/>
    </row>
    <row r="345" spans="1:4" ht="15.75" customHeight="1" x14ac:dyDescent="0.15">
      <c r="A345" s="33"/>
      <c r="B345" s="34"/>
      <c r="C345" s="35"/>
      <c r="D345" s="35"/>
    </row>
    <row r="346" spans="1:4" ht="15.75" customHeight="1" x14ac:dyDescent="0.15">
      <c r="A346" s="33"/>
      <c r="B346" s="34"/>
      <c r="C346" s="35"/>
      <c r="D346" s="35"/>
    </row>
    <row r="347" spans="1:4" ht="15.75" customHeight="1" x14ac:dyDescent="0.15">
      <c r="A347" s="33"/>
      <c r="B347" s="34"/>
      <c r="C347" s="35"/>
      <c r="D347" s="35"/>
    </row>
    <row r="348" spans="1:4" ht="15.75" customHeight="1" x14ac:dyDescent="0.15">
      <c r="A348" s="33"/>
      <c r="B348" s="34"/>
      <c r="C348" s="35"/>
      <c r="D348" s="35"/>
    </row>
    <row r="349" spans="1:4" ht="15.75" customHeight="1" x14ac:dyDescent="0.15">
      <c r="A349" s="33"/>
      <c r="B349" s="34"/>
      <c r="C349" s="35"/>
      <c r="D349" s="35"/>
    </row>
    <row r="350" spans="1:4" ht="15.75" customHeight="1" x14ac:dyDescent="0.15">
      <c r="A350" s="33"/>
      <c r="B350" s="34"/>
      <c r="C350" s="35"/>
      <c r="D350" s="35"/>
    </row>
    <row r="351" spans="1:4" ht="15.75" customHeight="1" x14ac:dyDescent="0.15">
      <c r="A351" s="33"/>
      <c r="B351" s="34"/>
      <c r="C351" s="35"/>
      <c r="D351" s="35"/>
    </row>
    <row r="352" spans="1:4" ht="15.75" customHeight="1" x14ac:dyDescent="0.15">
      <c r="A352" s="33"/>
      <c r="B352" s="34"/>
      <c r="C352" s="35"/>
      <c r="D352" s="35"/>
    </row>
    <row r="353" spans="1:4" ht="15.75" customHeight="1" x14ac:dyDescent="0.15">
      <c r="A353" s="33"/>
      <c r="B353" s="34"/>
      <c r="C353" s="35"/>
      <c r="D353" s="35"/>
    </row>
    <row r="354" spans="1:4" ht="15.75" customHeight="1" x14ac:dyDescent="0.15">
      <c r="A354" s="33"/>
      <c r="B354" s="34"/>
      <c r="C354" s="35"/>
      <c r="D354" s="35"/>
    </row>
    <row r="355" spans="1:4" ht="15.75" customHeight="1" x14ac:dyDescent="0.15">
      <c r="A355" s="33"/>
      <c r="B355" s="34"/>
      <c r="C355" s="35"/>
      <c r="D355" s="35"/>
    </row>
    <row r="356" spans="1:4" ht="15.75" customHeight="1" x14ac:dyDescent="0.15">
      <c r="A356" s="33"/>
      <c r="B356" s="34"/>
      <c r="C356" s="35"/>
      <c r="D356" s="35"/>
    </row>
    <row r="357" spans="1:4" ht="15.75" customHeight="1" x14ac:dyDescent="0.15">
      <c r="A357" s="33"/>
      <c r="B357" s="34"/>
      <c r="C357" s="35"/>
      <c r="D357" s="35"/>
    </row>
    <row r="358" spans="1:4" ht="15.75" customHeight="1" x14ac:dyDescent="0.15">
      <c r="A358" s="33"/>
      <c r="B358" s="34"/>
      <c r="C358" s="35"/>
      <c r="D358" s="35"/>
    </row>
    <row r="359" spans="1:4" ht="15.75" customHeight="1" x14ac:dyDescent="0.15">
      <c r="A359" s="33"/>
      <c r="B359" s="34"/>
      <c r="C359" s="35"/>
      <c r="D359" s="35"/>
    </row>
    <row r="360" spans="1:4" ht="15.75" customHeight="1" x14ac:dyDescent="0.15">
      <c r="A360" s="33"/>
      <c r="B360" s="34"/>
      <c r="C360" s="35"/>
      <c r="D360" s="35"/>
    </row>
    <row r="361" spans="1:4" ht="15.75" customHeight="1" x14ac:dyDescent="0.15">
      <c r="A361" s="33"/>
      <c r="B361" s="34"/>
      <c r="C361" s="35"/>
      <c r="D361" s="35"/>
    </row>
    <row r="362" spans="1:4" ht="15.75" customHeight="1" x14ac:dyDescent="0.15">
      <c r="A362" s="33"/>
      <c r="B362" s="34"/>
      <c r="C362" s="35"/>
      <c r="D362" s="35"/>
    </row>
    <row r="363" spans="1:4" ht="15.75" customHeight="1" x14ac:dyDescent="0.15">
      <c r="A363" s="33"/>
      <c r="B363" s="34"/>
      <c r="C363" s="35"/>
      <c r="D363" s="35"/>
    </row>
    <row r="364" spans="1:4" ht="15.75" customHeight="1" x14ac:dyDescent="0.15">
      <c r="A364" s="33"/>
      <c r="B364" s="34"/>
      <c r="C364" s="35"/>
      <c r="D364" s="35"/>
    </row>
    <row r="365" spans="1:4" ht="15.75" customHeight="1" x14ac:dyDescent="0.15">
      <c r="A365" s="33"/>
      <c r="B365" s="34"/>
      <c r="C365" s="35"/>
      <c r="D365" s="35"/>
    </row>
    <row r="366" spans="1:4" ht="15.75" customHeight="1" x14ac:dyDescent="0.15">
      <c r="A366" s="33"/>
      <c r="B366" s="34"/>
      <c r="C366" s="35"/>
      <c r="D366" s="35"/>
    </row>
    <row r="367" spans="1:4" ht="15.75" customHeight="1" x14ac:dyDescent="0.15">
      <c r="A367" s="33"/>
      <c r="B367" s="34"/>
      <c r="C367" s="35"/>
      <c r="D367" s="35"/>
    </row>
    <row r="368" spans="1:4" ht="15.75" customHeight="1" x14ac:dyDescent="0.15">
      <c r="A368" s="33"/>
      <c r="B368" s="34"/>
      <c r="C368" s="35"/>
      <c r="D368" s="35"/>
    </row>
    <row r="369" spans="1:4" ht="15.75" customHeight="1" x14ac:dyDescent="0.15">
      <c r="A369" s="33"/>
      <c r="B369" s="34"/>
      <c r="C369" s="35"/>
      <c r="D369" s="35"/>
    </row>
    <row r="370" spans="1:4" ht="15.75" customHeight="1" x14ac:dyDescent="0.15">
      <c r="A370" s="33"/>
      <c r="B370" s="34"/>
      <c r="C370" s="35"/>
      <c r="D370" s="35"/>
    </row>
    <row r="371" spans="1:4" ht="15.75" customHeight="1" x14ac:dyDescent="0.15">
      <c r="A371" s="33"/>
      <c r="B371" s="34"/>
      <c r="C371" s="35"/>
      <c r="D371" s="35"/>
    </row>
    <row r="372" spans="1:4" ht="15.75" customHeight="1" x14ac:dyDescent="0.15">
      <c r="A372" s="33"/>
      <c r="B372" s="34"/>
      <c r="C372" s="35"/>
      <c r="D372" s="35"/>
    </row>
    <row r="373" spans="1:4" ht="15.75" customHeight="1" x14ac:dyDescent="0.15">
      <c r="A373" s="33"/>
      <c r="B373" s="34"/>
      <c r="C373" s="35"/>
      <c r="D373" s="35"/>
    </row>
    <row r="374" spans="1:4" ht="15.75" customHeight="1" x14ac:dyDescent="0.15">
      <c r="A374" s="33"/>
      <c r="B374" s="34"/>
      <c r="C374" s="35"/>
      <c r="D374" s="35"/>
    </row>
    <row r="375" spans="1:4" ht="15.75" customHeight="1" x14ac:dyDescent="0.15">
      <c r="A375" s="33"/>
      <c r="B375" s="34"/>
      <c r="C375" s="35"/>
      <c r="D375" s="35"/>
    </row>
    <row r="376" spans="1:4" ht="15.75" customHeight="1" x14ac:dyDescent="0.15">
      <c r="A376" s="33"/>
      <c r="B376" s="34"/>
      <c r="C376" s="35"/>
      <c r="D376" s="35"/>
    </row>
    <row r="377" spans="1:4" ht="15.75" customHeight="1" x14ac:dyDescent="0.15">
      <c r="A377" s="33"/>
      <c r="B377" s="34"/>
      <c r="C377" s="35"/>
      <c r="D377" s="35"/>
    </row>
    <row r="378" spans="1:4" ht="15.75" customHeight="1" x14ac:dyDescent="0.15">
      <c r="A378" s="33"/>
      <c r="B378" s="34"/>
      <c r="C378" s="35"/>
      <c r="D378" s="35"/>
    </row>
    <row r="379" spans="1:4" ht="15.75" customHeight="1" x14ac:dyDescent="0.15">
      <c r="A379" s="33"/>
      <c r="B379" s="34"/>
      <c r="C379" s="35"/>
      <c r="D379" s="35"/>
    </row>
    <row r="380" spans="1:4" ht="15.75" customHeight="1" x14ac:dyDescent="0.15">
      <c r="A380" s="33"/>
      <c r="B380" s="34"/>
      <c r="C380" s="35"/>
      <c r="D380" s="35"/>
    </row>
    <row r="381" spans="1:4" ht="15.75" customHeight="1" x14ac:dyDescent="0.15">
      <c r="A381" s="33"/>
      <c r="B381" s="34"/>
      <c r="C381" s="35"/>
      <c r="D381" s="35"/>
    </row>
    <row r="382" spans="1:4" ht="15.75" customHeight="1" x14ac:dyDescent="0.15">
      <c r="A382" s="33"/>
      <c r="B382" s="34"/>
      <c r="C382" s="35"/>
      <c r="D382" s="35"/>
    </row>
    <row r="383" spans="1:4" ht="15.75" customHeight="1" x14ac:dyDescent="0.15">
      <c r="A383" s="33"/>
      <c r="B383" s="34"/>
      <c r="C383" s="35"/>
      <c r="D383" s="35"/>
    </row>
    <row r="384" spans="1:4" ht="15.75" customHeight="1" x14ac:dyDescent="0.15">
      <c r="A384" s="33"/>
      <c r="B384" s="34"/>
      <c r="C384" s="35"/>
      <c r="D384" s="35"/>
    </row>
    <row r="385" spans="1:4" ht="15.75" customHeight="1" x14ac:dyDescent="0.15">
      <c r="A385" s="33"/>
      <c r="B385" s="34"/>
      <c r="C385" s="35"/>
      <c r="D385" s="35"/>
    </row>
    <row r="386" spans="1:4" ht="15.75" customHeight="1" x14ac:dyDescent="0.15">
      <c r="A386" s="33"/>
      <c r="B386" s="34"/>
      <c r="C386" s="35"/>
      <c r="D386" s="35"/>
    </row>
    <row r="387" spans="1:4" ht="15.75" customHeight="1" x14ac:dyDescent="0.15">
      <c r="A387" s="33"/>
      <c r="B387" s="34"/>
      <c r="C387" s="35"/>
      <c r="D387" s="35"/>
    </row>
    <row r="388" spans="1:4" ht="15.75" customHeight="1" x14ac:dyDescent="0.15">
      <c r="A388" s="33"/>
      <c r="B388" s="34"/>
      <c r="C388" s="35"/>
      <c r="D388" s="35"/>
    </row>
    <row r="389" spans="1:4" ht="15.75" customHeight="1" x14ac:dyDescent="0.15">
      <c r="A389" s="33"/>
      <c r="B389" s="34"/>
      <c r="C389" s="35"/>
      <c r="D389" s="35"/>
    </row>
    <row r="390" spans="1:4" ht="15.75" customHeight="1" x14ac:dyDescent="0.15">
      <c r="A390" s="33"/>
      <c r="B390" s="34"/>
      <c r="C390" s="35"/>
      <c r="D390" s="35"/>
    </row>
    <row r="391" spans="1:4" ht="15.75" customHeight="1" x14ac:dyDescent="0.15">
      <c r="A391" s="33"/>
      <c r="B391" s="34"/>
      <c r="C391" s="35"/>
      <c r="D391" s="35"/>
    </row>
    <row r="392" spans="1:4" ht="15.75" customHeight="1" x14ac:dyDescent="0.15">
      <c r="A392" s="33"/>
      <c r="B392" s="34"/>
      <c r="C392" s="35"/>
      <c r="D392" s="35"/>
    </row>
    <row r="393" spans="1:4" ht="15.75" customHeight="1" x14ac:dyDescent="0.15">
      <c r="A393" s="33"/>
      <c r="B393" s="34"/>
      <c r="C393" s="35"/>
      <c r="D393" s="35"/>
    </row>
    <row r="394" spans="1:4" ht="15.75" customHeight="1" x14ac:dyDescent="0.15">
      <c r="A394" s="33"/>
      <c r="B394" s="34"/>
      <c r="C394" s="35"/>
      <c r="D394" s="35"/>
    </row>
    <row r="395" spans="1:4" ht="15.75" customHeight="1" x14ac:dyDescent="0.15">
      <c r="A395" s="33"/>
      <c r="B395" s="34"/>
      <c r="C395" s="35"/>
      <c r="D395" s="35"/>
    </row>
    <row r="396" spans="1:4" ht="15.75" customHeight="1" x14ac:dyDescent="0.15">
      <c r="A396" s="33"/>
      <c r="B396" s="34"/>
      <c r="C396" s="35"/>
      <c r="D396" s="35"/>
    </row>
    <row r="397" spans="1:4" ht="15.75" customHeight="1" x14ac:dyDescent="0.15">
      <c r="A397" s="33"/>
      <c r="B397" s="34"/>
      <c r="C397" s="35"/>
      <c r="D397" s="35"/>
    </row>
    <row r="398" spans="1:4" ht="15.75" customHeight="1" x14ac:dyDescent="0.15">
      <c r="A398" s="33"/>
      <c r="B398" s="34"/>
      <c r="C398" s="35"/>
      <c r="D398" s="35"/>
    </row>
    <row r="399" spans="1:4" ht="15.75" customHeight="1" x14ac:dyDescent="0.15">
      <c r="A399" s="33"/>
      <c r="B399" s="34"/>
      <c r="C399" s="35"/>
      <c r="D399" s="35"/>
    </row>
    <row r="400" spans="1:4" ht="15.75" customHeight="1" x14ac:dyDescent="0.15">
      <c r="A400" s="33"/>
      <c r="B400" s="34"/>
      <c r="C400" s="35"/>
      <c r="D400" s="35"/>
    </row>
    <row r="401" spans="1:4" ht="15.75" customHeight="1" x14ac:dyDescent="0.15">
      <c r="A401" s="33"/>
      <c r="B401" s="34"/>
      <c r="C401" s="35"/>
      <c r="D401" s="35"/>
    </row>
    <row r="402" spans="1:4" ht="15.75" customHeight="1" x14ac:dyDescent="0.15">
      <c r="A402" s="33"/>
      <c r="B402" s="34"/>
      <c r="C402" s="35"/>
      <c r="D402" s="35"/>
    </row>
    <row r="403" spans="1:4" ht="15.75" customHeight="1" x14ac:dyDescent="0.15">
      <c r="A403" s="33"/>
      <c r="B403" s="34"/>
      <c r="C403" s="35"/>
      <c r="D403" s="35"/>
    </row>
    <row r="404" spans="1:4" ht="15.75" customHeight="1" x14ac:dyDescent="0.15">
      <c r="A404" s="33"/>
      <c r="B404" s="34"/>
      <c r="C404" s="35"/>
      <c r="D404" s="35"/>
    </row>
    <row r="405" spans="1:4" ht="15.75" customHeight="1" x14ac:dyDescent="0.15">
      <c r="A405" s="33"/>
      <c r="B405" s="34"/>
      <c r="C405" s="35"/>
      <c r="D405" s="35"/>
    </row>
    <row r="406" spans="1:4" ht="15.75" customHeight="1" x14ac:dyDescent="0.15">
      <c r="A406" s="33"/>
      <c r="B406" s="34"/>
      <c r="C406" s="35"/>
      <c r="D406" s="35"/>
    </row>
    <row r="407" spans="1:4" ht="15.75" customHeight="1" x14ac:dyDescent="0.15">
      <c r="A407" s="33"/>
      <c r="B407" s="34"/>
      <c r="C407" s="35"/>
      <c r="D407" s="35"/>
    </row>
    <row r="408" spans="1:4" ht="15.75" customHeight="1" x14ac:dyDescent="0.15">
      <c r="A408" s="33"/>
      <c r="B408" s="34"/>
      <c r="C408" s="35"/>
      <c r="D408" s="35"/>
    </row>
    <row r="409" spans="1:4" ht="15.75" customHeight="1" x14ac:dyDescent="0.15">
      <c r="A409" s="33"/>
      <c r="B409" s="34"/>
      <c r="C409" s="35"/>
      <c r="D409" s="35"/>
    </row>
    <row r="410" spans="1:4" ht="15.75" customHeight="1" x14ac:dyDescent="0.15">
      <c r="A410" s="33"/>
      <c r="B410" s="34"/>
      <c r="C410" s="35"/>
      <c r="D410" s="35"/>
    </row>
    <row r="411" spans="1:4" ht="15.75" customHeight="1" x14ac:dyDescent="0.15">
      <c r="A411" s="33"/>
      <c r="B411" s="34"/>
      <c r="C411" s="35"/>
      <c r="D411" s="35"/>
    </row>
    <row r="412" spans="1:4" ht="15.75" customHeight="1" x14ac:dyDescent="0.15">
      <c r="A412" s="33"/>
      <c r="B412" s="34"/>
      <c r="C412" s="35"/>
      <c r="D412" s="35"/>
    </row>
    <row r="413" spans="1:4" ht="15.75" customHeight="1" x14ac:dyDescent="0.15">
      <c r="A413" s="33"/>
      <c r="B413" s="34"/>
      <c r="C413" s="35"/>
      <c r="D413" s="35"/>
    </row>
    <row r="414" spans="1:4" ht="15.75" customHeight="1" x14ac:dyDescent="0.15">
      <c r="A414" s="33"/>
      <c r="B414" s="34"/>
      <c r="C414" s="35"/>
      <c r="D414" s="35"/>
    </row>
    <row r="415" spans="1:4" ht="15.75" customHeight="1" x14ac:dyDescent="0.15">
      <c r="A415" s="33"/>
      <c r="B415" s="34"/>
      <c r="C415" s="35"/>
      <c r="D415" s="35"/>
    </row>
    <row r="416" spans="1:4" ht="15.75" customHeight="1" x14ac:dyDescent="0.15">
      <c r="A416" s="33"/>
      <c r="B416" s="34"/>
      <c r="C416" s="35"/>
      <c r="D416" s="35"/>
    </row>
    <row r="417" spans="1:4" ht="15.75" customHeight="1" x14ac:dyDescent="0.15">
      <c r="A417" s="33"/>
      <c r="B417" s="34"/>
      <c r="C417" s="35"/>
      <c r="D417" s="35"/>
    </row>
    <row r="418" spans="1:4" ht="15.75" customHeight="1" x14ac:dyDescent="0.15">
      <c r="A418" s="33"/>
      <c r="B418" s="34"/>
      <c r="C418" s="35"/>
      <c r="D418" s="35"/>
    </row>
    <row r="419" spans="1:4" ht="15.75" customHeight="1" x14ac:dyDescent="0.15">
      <c r="A419" s="33"/>
      <c r="B419" s="34"/>
      <c r="C419" s="35"/>
      <c r="D419" s="35"/>
    </row>
    <row r="420" spans="1:4" ht="15.75" customHeight="1" x14ac:dyDescent="0.15">
      <c r="A420" s="33"/>
      <c r="B420" s="34"/>
      <c r="C420" s="35"/>
      <c r="D420" s="35"/>
    </row>
    <row r="421" spans="1:4" ht="15.75" customHeight="1" x14ac:dyDescent="0.15">
      <c r="A421" s="33"/>
      <c r="B421" s="34"/>
      <c r="C421" s="35"/>
      <c r="D421" s="35"/>
    </row>
    <row r="422" spans="1:4" ht="15.75" customHeight="1" x14ac:dyDescent="0.15">
      <c r="A422" s="33"/>
      <c r="B422" s="34"/>
      <c r="C422" s="35"/>
      <c r="D422" s="35"/>
    </row>
    <row r="423" spans="1:4" ht="15.75" customHeight="1" x14ac:dyDescent="0.15">
      <c r="A423" s="33"/>
      <c r="B423" s="34"/>
      <c r="C423" s="35"/>
      <c r="D423" s="35"/>
    </row>
    <row r="424" spans="1:4" ht="15.75" customHeight="1" x14ac:dyDescent="0.15">
      <c r="A424" s="33"/>
      <c r="B424" s="34"/>
      <c r="C424" s="35"/>
      <c r="D424" s="35"/>
    </row>
    <row r="425" spans="1:4" ht="15.75" customHeight="1" x14ac:dyDescent="0.15">
      <c r="A425" s="33"/>
      <c r="B425" s="34"/>
      <c r="C425" s="35"/>
      <c r="D425" s="35"/>
    </row>
    <row r="426" spans="1:4" ht="15.75" customHeight="1" x14ac:dyDescent="0.15">
      <c r="A426" s="33"/>
      <c r="B426" s="34"/>
      <c r="C426" s="35"/>
      <c r="D426" s="35"/>
    </row>
    <row r="427" spans="1:4" ht="15.75" customHeight="1" x14ac:dyDescent="0.15">
      <c r="A427" s="33"/>
      <c r="B427" s="34"/>
      <c r="C427" s="35"/>
      <c r="D427" s="35"/>
    </row>
    <row r="428" spans="1:4" ht="15.75" customHeight="1" x14ac:dyDescent="0.15">
      <c r="A428" s="33"/>
      <c r="B428" s="34"/>
      <c r="C428" s="35"/>
      <c r="D428" s="35"/>
    </row>
    <row r="429" spans="1:4" ht="15.75" customHeight="1" x14ac:dyDescent="0.15">
      <c r="A429" s="33"/>
      <c r="B429" s="34"/>
      <c r="C429" s="35"/>
      <c r="D429" s="35"/>
    </row>
    <row r="430" spans="1:4" ht="15.75" customHeight="1" x14ac:dyDescent="0.15">
      <c r="A430" s="33"/>
      <c r="B430" s="34"/>
      <c r="C430" s="35"/>
      <c r="D430" s="35"/>
    </row>
    <row r="431" spans="1:4" ht="15.75" customHeight="1" x14ac:dyDescent="0.15">
      <c r="A431" s="33"/>
      <c r="B431" s="34"/>
      <c r="C431" s="35"/>
      <c r="D431" s="35"/>
    </row>
    <row r="432" spans="1:4" ht="15.75" customHeight="1" x14ac:dyDescent="0.15">
      <c r="A432" s="33"/>
      <c r="B432" s="34"/>
      <c r="C432" s="35"/>
      <c r="D432" s="35"/>
    </row>
    <row r="433" spans="1:4" ht="15.75" customHeight="1" x14ac:dyDescent="0.15">
      <c r="A433" s="33"/>
      <c r="B433" s="34"/>
      <c r="C433" s="35"/>
      <c r="D433" s="35"/>
    </row>
    <row r="434" spans="1:4" ht="15.75" customHeight="1" x14ac:dyDescent="0.15">
      <c r="A434" s="33"/>
      <c r="B434" s="34"/>
      <c r="C434" s="35"/>
      <c r="D434" s="35"/>
    </row>
    <row r="435" spans="1:4" ht="15.75" customHeight="1" x14ac:dyDescent="0.15">
      <c r="A435" s="33"/>
      <c r="B435" s="34"/>
      <c r="C435" s="35"/>
      <c r="D435" s="35"/>
    </row>
    <row r="436" spans="1:4" ht="15.75" customHeight="1" x14ac:dyDescent="0.15">
      <c r="A436" s="33"/>
      <c r="B436" s="34"/>
      <c r="C436" s="35"/>
      <c r="D436" s="35"/>
    </row>
    <row r="437" spans="1:4" ht="15.75" customHeight="1" x14ac:dyDescent="0.15">
      <c r="A437" s="33"/>
      <c r="B437" s="34"/>
      <c r="C437" s="35"/>
      <c r="D437" s="35"/>
    </row>
    <row r="438" spans="1:4" ht="15.75" customHeight="1" x14ac:dyDescent="0.15">
      <c r="A438" s="33"/>
      <c r="B438" s="34"/>
      <c r="C438" s="35"/>
      <c r="D438" s="35"/>
    </row>
    <row r="439" spans="1:4" ht="15.75" customHeight="1" x14ac:dyDescent="0.15">
      <c r="A439" s="33"/>
      <c r="B439" s="34"/>
      <c r="C439" s="35"/>
      <c r="D439" s="35"/>
    </row>
    <row r="440" spans="1:4" ht="15.75" customHeight="1" x14ac:dyDescent="0.15">
      <c r="A440" s="33"/>
      <c r="B440" s="34"/>
      <c r="C440" s="35"/>
      <c r="D440" s="35"/>
    </row>
    <row r="441" spans="1:4" ht="15.75" customHeight="1" x14ac:dyDescent="0.15">
      <c r="A441" s="33"/>
      <c r="B441" s="34"/>
      <c r="C441" s="35"/>
      <c r="D441" s="35"/>
    </row>
    <row r="442" spans="1:4" ht="15.75" customHeight="1" x14ac:dyDescent="0.15">
      <c r="A442" s="33"/>
      <c r="B442" s="34"/>
      <c r="C442" s="35"/>
      <c r="D442" s="35"/>
    </row>
    <row r="443" spans="1:4" ht="15.75" customHeight="1" x14ac:dyDescent="0.15">
      <c r="A443" s="33"/>
      <c r="B443" s="34"/>
      <c r="C443" s="35"/>
      <c r="D443" s="35"/>
    </row>
    <row r="444" spans="1:4" ht="15.75" customHeight="1" x14ac:dyDescent="0.15">
      <c r="A444" s="33"/>
      <c r="B444" s="34"/>
      <c r="C444" s="35"/>
      <c r="D444" s="35"/>
    </row>
    <row r="445" spans="1:4" ht="15.75" customHeight="1" x14ac:dyDescent="0.15">
      <c r="A445" s="33"/>
      <c r="B445" s="34"/>
      <c r="C445" s="35"/>
      <c r="D445" s="35"/>
    </row>
    <row r="446" spans="1:4" ht="15.75" customHeight="1" x14ac:dyDescent="0.15">
      <c r="A446" s="33"/>
      <c r="B446" s="34"/>
      <c r="C446" s="35"/>
      <c r="D446" s="35"/>
    </row>
    <row r="447" spans="1:4" ht="15.75" customHeight="1" x14ac:dyDescent="0.15">
      <c r="A447" s="33"/>
      <c r="B447" s="34"/>
      <c r="C447" s="35"/>
      <c r="D447" s="35"/>
    </row>
    <row r="448" spans="1:4" ht="15.75" customHeight="1" x14ac:dyDescent="0.15">
      <c r="A448" s="33"/>
      <c r="B448" s="34"/>
      <c r="C448" s="35"/>
      <c r="D448" s="35"/>
    </row>
    <row r="449" spans="1:4" ht="15.75" customHeight="1" x14ac:dyDescent="0.15">
      <c r="A449" s="33"/>
      <c r="B449" s="34"/>
      <c r="C449" s="35"/>
      <c r="D449" s="35"/>
    </row>
    <row r="450" spans="1:4" ht="15.75" customHeight="1" x14ac:dyDescent="0.15">
      <c r="A450" s="33"/>
      <c r="B450" s="34"/>
      <c r="C450" s="35"/>
      <c r="D450" s="35"/>
    </row>
    <row r="451" spans="1:4" ht="15.75" customHeight="1" x14ac:dyDescent="0.15">
      <c r="A451" s="33"/>
      <c r="B451" s="34"/>
      <c r="C451" s="35"/>
      <c r="D451" s="35"/>
    </row>
    <row r="452" spans="1:4" ht="15.75" customHeight="1" x14ac:dyDescent="0.15">
      <c r="A452" s="33"/>
      <c r="B452" s="34"/>
      <c r="C452" s="35"/>
      <c r="D452" s="35"/>
    </row>
    <row r="453" spans="1:4" ht="15.75" customHeight="1" x14ac:dyDescent="0.15">
      <c r="A453" s="33"/>
      <c r="B453" s="34"/>
      <c r="C453" s="35"/>
      <c r="D453" s="35"/>
    </row>
    <row r="454" spans="1:4" ht="15.75" customHeight="1" x14ac:dyDescent="0.15">
      <c r="A454" s="33"/>
      <c r="B454" s="34"/>
      <c r="C454" s="35"/>
      <c r="D454" s="35"/>
    </row>
    <row r="455" spans="1:4" ht="15.75" customHeight="1" x14ac:dyDescent="0.15">
      <c r="A455" s="33"/>
      <c r="B455" s="34"/>
      <c r="C455" s="35"/>
      <c r="D455" s="35"/>
    </row>
    <row r="456" spans="1:4" ht="15.75" customHeight="1" x14ac:dyDescent="0.15">
      <c r="A456" s="33"/>
      <c r="B456" s="34"/>
      <c r="C456" s="35"/>
      <c r="D456" s="35"/>
    </row>
    <row r="457" spans="1:4" ht="15.75" customHeight="1" x14ac:dyDescent="0.15">
      <c r="A457" s="33"/>
      <c r="B457" s="34"/>
      <c r="C457" s="35"/>
      <c r="D457" s="35"/>
    </row>
    <row r="458" spans="1:4" ht="15.75" customHeight="1" x14ac:dyDescent="0.15">
      <c r="A458" s="33"/>
      <c r="B458" s="34"/>
      <c r="C458" s="35"/>
      <c r="D458" s="35"/>
    </row>
    <row r="459" spans="1:4" ht="15.75" customHeight="1" x14ac:dyDescent="0.15">
      <c r="A459" s="33"/>
      <c r="B459" s="34"/>
      <c r="C459" s="35"/>
      <c r="D459" s="35"/>
    </row>
    <row r="460" spans="1:4" ht="15.75" customHeight="1" x14ac:dyDescent="0.15">
      <c r="A460" s="33"/>
      <c r="B460" s="34"/>
      <c r="C460" s="35"/>
      <c r="D460" s="35"/>
    </row>
    <row r="461" spans="1:4" ht="15.75" customHeight="1" x14ac:dyDescent="0.15">
      <c r="A461" s="33"/>
      <c r="B461" s="34"/>
      <c r="C461" s="35"/>
      <c r="D461" s="35"/>
    </row>
    <row r="462" spans="1:4" ht="15.75" customHeight="1" x14ac:dyDescent="0.15">
      <c r="A462" s="33"/>
      <c r="B462" s="34"/>
      <c r="C462" s="35"/>
      <c r="D462" s="35"/>
    </row>
    <row r="463" spans="1:4" ht="15.75" customHeight="1" x14ac:dyDescent="0.15">
      <c r="A463" s="33"/>
      <c r="B463" s="34"/>
      <c r="C463" s="35"/>
      <c r="D463" s="35"/>
    </row>
    <row r="464" spans="1:4" ht="15.75" customHeight="1" x14ac:dyDescent="0.15">
      <c r="A464" s="33"/>
      <c r="B464" s="34"/>
      <c r="C464" s="35"/>
      <c r="D464" s="35"/>
    </row>
    <row r="465" spans="1:4" ht="15.75" customHeight="1" x14ac:dyDescent="0.15">
      <c r="A465" s="33"/>
      <c r="B465" s="34"/>
      <c r="C465" s="35"/>
      <c r="D465" s="35"/>
    </row>
    <row r="466" spans="1:4" ht="15.75" customHeight="1" x14ac:dyDescent="0.15">
      <c r="A466" s="33"/>
      <c r="B466" s="34"/>
      <c r="C466" s="35"/>
      <c r="D466" s="35"/>
    </row>
    <row r="467" spans="1:4" ht="15.75" customHeight="1" x14ac:dyDescent="0.15">
      <c r="A467" s="33"/>
      <c r="B467" s="34"/>
      <c r="C467" s="35"/>
      <c r="D467" s="35"/>
    </row>
    <row r="468" spans="1:4" ht="15.75" customHeight="1" x14ac:dyDescent="0.15">
      <c r="A468" s="33"/>
      <c r="B468" s="34"/>
      <c r="C468" s="35"/>
      <c r="D468" s="35"/>
    </row>
    <row r="469" spans="1:4" ht="15.75" customHeight="1" x14ac:dyDescent="0.15">
      <c r="A469" s="33"/>
      <c r="B469" s="34"/>
      <c r="C469" s="35"/>
      <c r="D469" s="35"/>
    </row>
    <row r="470" spans="1:4" ht="15.75" customHeight="1" x14ac:dyDescent="0.15">
      <c r="A470" s="33"/>
      <c r="B470" s="34"/>
      <c r="C470" s="35"/>
      <c r="D470" s="35"/>
    </row>
    <row r="471" spans="1:4" ht="15.75" customHeight="1" x14ac:dyDescent="0.15">
      <c r="A471" s="33"/>
      <c r="B471" s="34"/>
      <c r="C471" s="35"/>
      <c r="D471" s="35"/>
    </row>
    <row r="472" spans="1:4" ht="15.75" customHeight="1" x14ac:dyDescent="0.15">
      <c r="A472" s="33"/>
      <c r="B472" s="34"/>
      <c r="C472" s="35"/>
      <c r="D472" s="35"/>
    </row>
    <row r="473" spans="1:4" ht="15.75" customHeight="1" x14ac:dyDescent="0.15">
      <c r="A473" s="33"/>
      <c r="B473" s="34"/>
      <c r="C473" s="35"/>
      <c r="D473" s="35"/>
    </row>
    <row r="474" spans="1:4" ht="15.75" customHeight="1" x14ac:dyDescent="0.15">
      <c r="A474" s="33"/>
      <c r="B474" s="34"/>
      <c r="C474" s="35"/>
      <c r="D474" s="35"/>
    </row>
    <row r="475" spans="1:4" ht="15.75" customHeight="1" x14ac:dyDescent="0.15">
      <c r="A475" s="33"/>
      <c r="B475" s="34"/>
      <c r="C475" s="35"/>
      <c r="D475" s="35"/>
    </row>
    <row r="476" spans="1:4" ht="15.75" customHeight="1" x14ac:dyDescent="0.15">
      <c r="A476" s="33"/>
      <c r="B476" s="34"/>
      <c r="C476" s="35"/>
      <c r="D476" s="35"/>
    </row>
    <row r="477" spans="1:4" ht="15.75" customHeight="1" x14ac:dyDescent="0.15">
      <c r="A477" s="33"/>
      <c r="B477" s="34"/>
      <c r="C477" s="35"/>
      <c r="D477" s="35"/>
    </row>
    <row r="478" spans="1:4" ht="15.75" customHeight="1" x14ac:dyDescent="0.15">
      <c r="A478" s="33"/>
      <c r="B478" s="34"/>
      <c r="C478" s="35"/>
      <c r="D478" s="35"/>
    </row>
    <row r="479" spans="1:4" ht="15.75" customHeight="1" x14ac:dyDescent="0.15">
      <c r="A479" s="33"/>
      <c r="B479" s="34"/>
      <c r="C479" s="35"/>
      <c r="D479" s="35"/>
    </row>
    <row r="480" spans="1:4" ht="15.75" customHeight="1" x14ac:dyDescent="0.15">
      <c r="A480" s="33"/>
      <c r="B480" s="34"/>
      <c r="C480" s="35"/>
      <c r="D480" s="35"/>
    </row>
    <row r="481" spans="1:4" ht="15.75" customHeight="1" x14ac:dyDescent="0.15">
      <c r="A481" s="33"/>
      <c r="B481" s="34"/>
      <c r="C481" s="35"/>
      <c r="D481" s="35"/>
    </row>
    <row r="482" spans="1:4" ht="15.75" customHeight="1" x14ac:dyDescent="0.15">
      <c r="A482" s="33"/>
      <c r="B482" s="34"/>
      <c r="C482" s="35"/>
      <c r="D482" s="35"/>
    </row>
    <row r="483" spans="1:4" ht="15.75" customHeight="1" x14ac:dyDescent="0.15">
      <c r="A483" s="33"/>
      <c r="B483" s="34"/>
      <c r="C483" s="35"/>
      <c r="D483" s="35"/>
    </row>
    <row r="484" spans="1:4" ht="15.75" customHeight="1" x14ac:dyDescent="0.15">
      <c r="A484" s="33"/>
      <c r="B484" s="34"/>
      <c r="C484" s="35"/>
      <c r="D484" s="35"/>
    </row>
    <row r="485" spans="1:4" ht="15.75" customHeight="1" x14ac:dyDescent="0.15">
      <c r="A485" s="33"/>
      <c r="B485" s="34"/>
      <c r="C485" s="35"/>
      <c r="D485" s="35"/>
    </row>
    <row r="486" spans="1:4" ht="15.75" customHeight="1" x14ac:dyDescent="0.15">
      <c r="A486" s="33"/>
      <c r="B486" s="34"/>
      <c r="C486" s="35"/>
      <c r="D486" s="35"/>
    </row>
    <row r="487" spans="1:4" ht="15.75" customHeight="1" x14ac:dyDescent="0.15">
      <c r="A487" s="33"/>
      <c r="B487" s="34"/>
      <c r="C487" s="35"/>
      <c r="D487" s="35"/>
    </row>
    <row r="488" spans="1:4" ht="15.75" customHeight="1" x14ac:dyDescent="0.15">
      <c r="A488" s="33"/>
      <c r="B488" s="34"/>
      <c r="C488" s="35"/>
      <c r="D488" s="35"/>
    </row>
    <row r="489" spans="1:4" ht="15.75" customHeight="1" x14ac:dyDescent="0.15">
      <c r="A489" s="33"/>
      <c r="B489" s="34"/>
      <c r="C489" s="35"/>
      <c r="D489" s="35"/>
    </row>
    <row r="490" spans="1:4" ht="15.75" customHeight="1" x14ac:dyDescent="0.15">
      <c r="A490" s="33"/>
      <c r="B490" s="34"/>
      <c r="C490" s="35"/>
      <c r="D490" s="35"/>
    </row>
    <row r="491" spans="1:4" ht="15.75" customHeight="1" x14ac:dyDescent="0.15">
      <c r="A491" s="33"/>
      <c r="B491" s="34"/>
      <c r="C491" s="35"/>
      <c r="D491" s="35"/>
    </row>
    <row r="492" spans="1:4" ht="15.75" customHeight="1" x14ac:dyDescent="0.15">
      <c r="A492" s="33"/>
      <c r="B492" s="34"/>
      <c r="C492" s="35"/>
      <c r="D492" s="35"/>
    </row>
    <row r="493" spans="1:4" ht="15.75" customHeight="1" x14ac:dyDescent="0.15">
      <c r="A493" s="33"/>
      <c r="B493" s="34"/>
      <c r="C493" s="35"/>
      <c r="D493" s="35"/>
    </row>
    <row r="494" spans="1:4" ht="15.75" customHeight="1" x14ac:dyDescent="0.15">
      <c r="A494" s="33"/>
      <c r="B494" s="34"/>
      <c r="C494" s="35"/>
      <c r="D494" s="35"/>
    </row>
    <row r="495" spans="1:4" ht="15.75" customHeight="1" x14ac:dyDescent="0.15">
      <c r="A495" s="33"/>
      <c r="B495" s="34"/>
      <c r="C495" s="35"/>
      <c r="D495" s="35"/>
    </row>
    <row r="496" spans="1:4" ht="15.75" customHeight="1" x14ac:dyDescent="0.15">
      <c r="A496" s="33"/>
      <c r="B496" s="34"/>
      <c r="C496" s="35"/>
      <c r="D496" s="35"/>
    </row>
    <row r="497" spans="1:4" ht="15.75" customHeight="1" x14ac:dyDescent="0.15">
      <c r="A497" s="33"/>
      <c r="B497" s="34"/>
      <c r="C497" s="35"/>
      <c r="D497" s="35"/>
    </row>
    <row r="498" spans="1:4" ht="15.75" customHeight="1" x14ac:dyDescent="0.15">
      <c r="A498" s="33"/>
      <c r="B498" s="34"/>
      <c r="C498" s="35"/>
      <c r="D498" s="35"/>
    </row>
    <row r="499" spans="1:4" ht="15.75" customHeight="1" x14ac:dyDescent="0.15">
      <c r="A499" s="33"/>
      <c r="B499" s="34"/>
      <c r="C499" s="35"/>
      <c r="D499" s="35"/>
    </row>
    <row r="500" spans="1:4" ht="15.75" customHeight="1" x14ac:dyDescent="0.15">
      <c r="A500" s="33"/>
      <c r="B500" s="34"/>
      <c r="C500" s="35"/>
      <c r="D500" s="35"/>
    </row>
    <row r="501" spans="1:4" ht="15.75" customHeight="1" x14ac:dyDescent="0.15">
      <c r="A501" s="33"/>
      <c r="B501" s="34"/>
      <c r="C501" s="35"/>
      <c r="D501" s="35"/>
    </row>
    <row r="502" spans="1:4" ht="15.75" customHeight="1" x14ac:dyDescent="0.15">
      <c r="A502" s="33"/>
      <c r="B502" s="34"/>
      <c r="C502" s="35"/>
      <c r="D502" s="35"/>
    </row>
    <row r="503" spans="1:4" ht="15.75" customHeight="1" x14ac:dyDescent="0.15">
      <c r="A503" s="33"/>
      <c r="B503" s="34"/>
      <c r="C503" s="35"/>
      <c r="D503" s="35"/>
    </row>
    <row r="504" spans="1:4" ht="15.75" customHeight="1" x14ac:dyDescent="0.15">
      <c r="A504" s="33"/>
      <c r="B504" s="34"/>
      <c r="C504" s="35"/>
      <c r="D504" s="35"/>
    </row>
    <row r="505" spans="1:4" ht="15.75" customHeight="1" x14ac:dyDescent="0.15">
      <c r="A505" s="33"/>
      <c r="B505" s="34"/>
      <c r="C505" s="35"/>
      <c r="D505" s="35"/>
    </row>
    <row r="506" spans="1:4" ht="15.75" customHeight="1" x14ac:dyDescent="0.15">
      <c r="A506" s="33"/>
      <c r="B506" s="34"/>
      <c r="C506" s="35"/>
      <c r="D506" s="35"/>
    </row>
    <row r="507" spans="1:4" ht="15.75" customHeight="1" x14ac:dyDescent="0.15">
      <c r="A507" s="33"/>
      <c r="B507" s="34"/>
      <c r="C507" s="35"/>
      <c r="D507" s="35"/>
    </row>
    <row r="508" spans="1:4" ht="15.75" customHeight="1" x14ac:dyDescent="0.15">
      <c r="A508" s="33"/>
      <c r="B508" s="34"/>
      <c r="C508" s="35"/>
      <c r="D508" s="35"/>
    </row>
    <row r="509" spans="1:4" ht="15.75" customHeight="1" x14ac:dyDescent="0.15">
      <c r="A509" s="33"/>
      <c r="B509" s="34"/>
      <c r="C509" s="35"/>
      <c r="D509" s="35"/>
    </row>
    <row r="510" spans="1:4" ht="15.75" customHeight="1" x14ac:dyDescent="0.15">
      <c r="A510" s="33"/>
      <c r="B510" s="34"/>
      <c r="C510" s="35"/>
      <c r="D510" s="35"/>
    </row>
    <row r="511" spans="1:4" ht="15.75" customHeight="1" x14ac:dyDescent="0.15">
      <c r="A511" s="33"/>
      <c r="B511" s="34"/>
      <c r="C511" s="35"/>
      <c r="D511" s="35"/>
    </row>
    <row r="512" spans="1:4" ht="15.75" customHeight="1" x14ac:dyDescent="0.15">
      <c r="A512" s="33"/>
      <c r="B512" s="34"/>
      <c r="C512" s="35"/>
      <c r="D512" s="35"/>
    </row>
    <row r="513" spans="1:4" ht="15.75" customHeight="1" x14ac:dyDescent="0.15">
      <c r="A513" s="33"/>
      <c r="B513" s="34"/>
      <c r="C513" s="35"/>
      <c r="D513" s="35"/>
    </row>
    <row r="514" spans="1:4" ht="15.75" customHeight="1" x14ac:dyDescent="0.15">
      <c r="A514" s="33"/>
      <c r="B514" s="34"/>
      <c r="C514" s="35"/>
      <c r="D514" s="35"/>
    </row>
    <row r="515" spans="1:4" ht="15.75" customHeight="1" x14ac:dyDescent="0.15">
      <c r="A515" s="33"/>
      <c r="B515" s="34"/>
      <c r="C515" s="35"/>
      <c r="D515" s="35"/>
    </row>
    <row r="516" spans="1:4" ht="15.75" customHeight="1" x14ac:dyDescent="0.15">
      <c r="A516" s="33"/>
      <c r="B516" s="34"/>
      <c r="C516" s="35"/>
      <c r="D516" s="35"/>
    </row>
    <row r="517" spans="1:4" ht="15.75" customHeight="1" x14ac:dyDescent="0.15">
      <c r="A517" s="33"/>
      <c r="B517" s="34"/>
      <c r="C517" s="35"/>
      <c r="D517" s="35"/>
    </row>
    <row r="518" spans="1:4" ht="15.75" customHeight="1" x14ac:dyDescent="0.15">
      <c r="A518" s="33"/>
      <c r="B518" s="34"/>
      <c r="C518" s="35"/>
      <c r="D518" s="35"/>
    </row>
    <row r="519" spans="1:4" ht="15.75" customHeight="1" x14ac:dyDescent="0.15">
      <c r="A519" s="33"/>
      <c r="B519" s="34"/>
      <c r="C519" s="35"/>
      <c r="D519" s="35"/>
    </row>
    <row r="520" spans="1:4" ht="15.75" customHeight="1" x14ac:dyDescent="0.15">
      <c r="A520" s="33"/>
      <c r="B520" s="34"/>
      <c r="C520" s="35"/>
      <c r="D520" s="35"/>
    </row>
    <row r="521" spans="1:4" ht="15.75" customHeight="1" x14ac:dyDescent="0.15">
      <c r="A521" s="33"/>
      <c r="B521" s="34"/>
      <c r="C521" s="35"/>
      <c r="D521" s="35"/>
    </row>
    <row r="522" spans="1:4" ht="15.75" customHeight="1" x14ac:dyDescent="0.15">
      <c r="A522" s="33"/>
      <c r="B522" s="34"/>
      <c r="C522" s="35"/>
      <c r="D522" s="35"/>
    </row>
    <row r="523" spans="1:4" ht="15.75" customHeight="1" x14ac:dyDescent="0.15">
      <c r="A523" s="33"/>
      <c r="B523" s="34"/>
      <c r="C523" s="35"/>
      <c r="D523" s="35"/>
    </row>
    <row r="524" spans="1:4" ht="15.75" customHeight="1" x14ac:dyDescent="0.15">
      <c r="A524" s="33"/>
      <c r="B524" s="34"/>
      <c r="C524" s="35"/>
      <c r="D524" s="35"/>
    </row>
    <row r="525" spans="1:4" ht="15.75" customHeight="1" x14ac:dyDescent="0.15">
      <c r="A525" s="33"/>
      <c r="B525" s="34"/>
      <c r="C525" s="35"/>
      <c r="D525" s="35"/>
    </row>
    <row r="526" spans="1:4" ht="15.75" customHeight="1" x14ac:dyDescent="0.15">
      <c r="A526" s="33"/>
      <c r="B526" s="34"/>
      <c r="C526" s="35"/>
      <c r="D526" s="35"/>
    </row>
    <row r="527" spans="1:4" ht="15.75" customHeight="1" x14ac:dyDescent="0.15">
      <c r="A527" s="33"/>
      <c r="B527" s="34"/>
      <c r="C527" s="35"/>
      <c r="D527" s="35"/>
    </row>
    <row r="528" spans="1:4" ht="15.75" customHeight="1" x14ac:dyDescent="0.15">
      <c r="A528" s="33"/>
      <c r="B528" s="34"/>
      <c r="C528" s="35"/>
      <c r="D528" s="35"/>
    </row>
    <row r="529" spans="1:4" ht="15.75" customHeight="1" x14ac:dyDescent="0.15">
      <c r="A529" s="33"/>
      <c r="B529" s="34"/>
      <c r="C529" s="35"/>
      <c r="D529" s="35"/>
    </row>
    <row r="530" spans="1:4" ht="15.75" customHeight="1" x14ac:dyDescent="0.15">
      <c r="A530" s="33"/>
      <c r="B530" s="34"/>
      <c r="C530" s="35"/>
      <c r="D530" s="35"/>
    </row>
    <row r="531" spans="1:4" ht="15.75" customHeight="1" x14ac:dyDescent="0.15">
      <c r="A531" s="33"/>
      <c r="B531" s="34"/>
      <c r="C531" s="35"/>
      <c r="D531" s="35"/>
    </row>
    <row r="532" spans="1:4" ht="15.75" customHeight="1" x14ac:dyDescent="0.15">
      <c r="A532" s="33"/>
      <c r="B532" s="34"/>
      <c r="C532" s="35"/>
      <c r="D532" s="35"/>
    </row>
    <row r="533" spans="1:4" ht="15.75" customHeight="1" x14ac:dyDescent="0.15">
      <c r="A533" s="33"/>
      <c r="B533" s="34"/>
      <c r="C533" s="35"/>
      <c r="D533" s="35"/>
    </row>
    <row r="534" spans="1:4" ht="15.75" customHeight="1" x14ac:dyDescent="0.15">
      <c r="A534" s="33"/>
      <c r="B534" s="34"/>
      <c r="C534" s="35"/>
      <c r="D534" s="35"/>
    </row>
    <row r="535" spans="1:4" ht="15.75" customHeight="1" x14ac:dyDescent="0.15">
      <c r="A535" s="33"/>
      <c r="B535" s="34"/>
      <c r="C535" s="35"/>
      <c r="D535" s="35"/>
    </row>
    <row r="536" spans="1:4" ht="15.75" customHeight="1" x14ac:dyDescent="0.15">
      <c r="A536" s="33"/>
      <c r="B536" s="34"/>
      <c r="C536" s="35"/>
      <c r="D536" s="35"/>
    </row>
    <row r="537" spans="1:4" ht="15.75" customHeight="1" x14ac:dyDescent="0.15">
      <c r="A537" s="33"/>
      <c r="B537" s="34"/>
      <c r="C537" s="35"/>
      <c r="D537" s="35"/>
    </row>
    <row r="538" spans="1:4" ht="15.75" customHeight="1" x14ac:dyDescent="0.15">
      <c r="A538" s="33"/>
      <c r="B538" s="34"/>
      <c r="C538" s="35"/>
      <c r="D538" s="35"/>
    </row>
    <row r="539" spans="1:4" ht="15.75" customHeight="1" x14ac:dyDescent="0.15">
      <c r="A539" s="33"/>
      <c r="B539" s="34"/>
      <c r="C539" s="35"/>
      <c r="D539" s="35"/>
    </row>
    <row r="540" spans="1:4" ht="15.75" customHeight="1" x14ac:dyDescent="0.15">
      <c r="A540" s="33"/>
      <c r="B540" s="34"/>
      <c r="C540" s="35"/>
      <c r="D540" s="35"/>
    </row>
    <row r="541" spans="1:4" ht="15.75" customHeight="1" x14ac:dyDescent="0.15">
      <c r="A541" s="33"/>
      <c r="B541" s="34"/>
      <c r="C541" s="35"/>
      <c r="D541" s="35"/>
    </row>
    <row r="542" spans="1:4" ht="15.75" customHeight="1" x14ac:dyDescent="0.15">
      <c r="A542" s="33"/>
      <c r="B542" s="34"/>
      <c r="C542" s="35"/>
      <c r="D542" s="35"/>
    </row>
    <row r="543" spans="1:4" ht="15.75" customHeight="1" x14ac:dyDescent="0.15">
      <c r="A543" s="33"/>
      <c r="B543" s="34"/>
      <c r="C543" s="35"/>
      <c r="D543" s="35"/>
    </row>
    <row r="544" spans="1:4" ht="15.75" customHeight="1" x14ac:dyDescent="0.15">
      <c r="A544" s="33"/>
      <c r="B544" s="34"/>
      <c r="C544" s="35"/>
      <c r="D544" s="35"/>
    </row>
    <row r="545" spans="1:4" ht="15.75" customHeight="1" x14ac:dyDescent="0.15">
      <c r="A545" s="33"/>
      <c r="B545" s="34"/>
      <c r="C545" s="35"/>
      <c r="D545" s="35"/>
    </row>
    <row r="546" spans="1:4" ht="15.75" customHeight="1" x14ac:dyDescent="0.15">
      <c r="A546" s="33"/>
      <c r="B546" s="34"/>
      <c r="C546" s="35"/>
      <c r="D546" s="35"/>
    </row>
    <row r="547" spans="1:4" ht="15.75" customHeight="1" x14ac:dyDescent="0.15">
      <c r="A547" s="33"/>
      <c r="B547" s="34"/>
      <c r="C547" s="35"/>
      <c r="D547" s="35"/>
    </row>
    <row r="548" spans="1:4" ht="15.75" customHeight="1" x14ac:dyDescent="0.15">
      <c r="A548" s="33"/>
      <c r="B548" s="34"/>
      <c r="C548" s="35"/>
      <c r="D548" s="35"/>
    </row>
    <row r="549" spans="1:4" ht="15.75" customHeight="1" x14ac:dyDescent="0.15">
      <c r="A549" s="33"/>
      <c r="B549" s="34"/>
      <c r="C549" s="35"/>
      <c r="D549" s="35"/>
    </row>
    <row r="550" spans="1:4" ht="15.75" customHeight="1" x14ac:dyDescent="0.15">
      <c r="A550" s="33"/>
      <c r="B550" s="34"/>
      <c r="C550" s="35"/>
      <c r="D550" s="35"/>
    </row>
    <row r="551" spans="1:4" ht="15.75" customHeight="1" x14ac:dyDescent="0.15">
      <c r="A551" s="33"/>
      <c r="B551" s="34"/>
      <c r="C551" s="35"/>
      <c r="D551" s="35"/>
    </row>
    <row r="552" spans="1:4" ht="15.75" customHeight="1" x14ac:dyDescent="0.15">
      <c r="A552" s="33"/>
      <c r="B552" s="34"/>
      <c r="C552" s="35"/>
      <c r="D552" s="35"/>
    </row>
    <row r="553" spans="1:4" ht="15.75" customHeight="1" x14ac:dyDescent="0.15">
      <c r="A553" s="33"/>
      <c r="B553" s="34"/>
      <c r="C553" s="35"/>
      <c r="D553" s="35"/>
    </row>
    <row r="554" spans="1:4" ht="15.75" customHeight="1" x14ac:dyDescent="0.15">
      <c r="A554" s="33"/>
      <c r="B554" s="34"/>
      <c r="C554" s="35"/>
      <c r="D554" s="35"/>
    </row>
    <row r="555" spans="1:4" ht="15.75" customHeight="1" x14ac:dyDescent="0.15">
      <c r="A555" s="33"/>
      <c r="B555" s="34"/>
      <c r="C555" s="35"/>
      <c r="D555" s="35"/>
    </row>
    <row r="556" spans="1:4" ht="15.75" customHeight="1" x14ac:dyDescent="0.15">
      <c r="A556" s="33"/>
      <c r="B556" s="34"/>
      <c r="C556" s="35"/>
      <c r="D556" s="35"/>
    </row>
    <row r="557" spans="1:4" ht="15.75" customHeight="1" x14ac:dyDescent="0.15">
      <c r="A557" s="33"/>
      <c r="B557" s="34"/>
      <c r="C557" s="35"/>
      <c r="D557" s="35"/>
    </row>
    <row r="558" spans="1:4" ht="15.75" customHeight="1" x14ac:dyDescent="0.15">
      <c r="A558" s="33"/>
      <c r="B558" s="34"/>
      <c r="C558" s="35"/>
      <c r="D558" s="35"/>
    </row>
    <row r="559" spans="1:4" ht="15.75" customHeight="1" x14ac:dyDescent="0.15">
      <c r="A559" s="33"/>
      <c r="B559" s="34"/>
      <c r="C559" s="35"/>
      <c r="D559" s="35"/>
    </row>
    <row r="560" spans="1:4" ht="15.75" customHeight="1" x14ac:dyDescent="0.15">
      <c r="A560" s="33"/>
      <c r="B560" s="34"/>
      <c r="C560" s="35"/>
      <c r="D560" s="35"/>
    </row>
    <row r="561" spans="1:4" ht="15.75" customHeight="1" x14ac:dyDescent="0.15">
      <c r="A561" s="33"/>
      <c r="B561" s="34"/>
      <c r="C561" s="35"/>
      <c r="D561" s="35"/>
    </row>
    <row r="562" spans="1:4" ht="15.75" customHeight="1" x14ac:dyDescent="0.15">
      <c r="A562" s="33"/>
      <c r="B562" s="34"/>
      <c r="C562" s="35"/>
      <c r="D562" s="35"/>
    </row>
    <row r="563" spans="1:4" ht="15.75" customHeight="1" x14ac:dyDescent="0.15">
      <c r="A563" s="33"/>
      <c r="B563" s="34"/>
      <c r="C563" s="35"/>
      <c r="D563" s="35"/>
    </row>
    <row r="564" spans="1:4" ht="15.75" customHeight="1" x14ac:dyDescent="0.15">
      <c r="A564" s="33"/>
      <c r="B564" s="34"/>
      <c r="C564" s="35"/>
      <c r="D564" s="35"/>
    </row>
    <row r="565" spans="1:4" ht="15.75" customHeight="1" x14ac:dyDescent="0.15">
      <c r="A565" s="33"/>
      <c r="B565" s="34"/>
      <c r="C565" s="35"/>
      <c r="D565" s="35"/>
    </row>
    <row r="566" spans="1:4" ht="15.75" customHeight="1" x14ac:dyDescent="0.15">
      <c r="A566" s="33"/>
      <c r="B566" s="34"/>
      <c r="C566" s="35"/>
      <c r="D566" s="35"/>
    </row>
    <row r="567" spans="1:4" ht="15.75" customHeight="1" x14ac:dyDescent="0.15">
      <c r="A567" s="33"/>
      <c r="B567" s="34"/>
      <c r="C567" s="35"/>
      <c r="D567" s="35"/>
    </row>
    <row r="568" spans="1:4" ht="15.75" customHeight="1" x14ac:dyDescent="0.15">
      <c r="A568" s="33"/>
      <c r="B568" s="34"/>
      <c r="C568" s="35"/>
      <c r="D568" s="35"/>
    </row>
    <row r="569" spans="1:4" ht="15.75" customHeight="1" x14ac:dyDescent="0.15">
      <c r="A569" s="33"/>
      <c r="B569" s="34"/>
      <c r="C569" s="35"/>
      <c r="D569" s="35"/>
    </row>
    <row r="570" spans="1:4" ht="15.75" customHeight="1" x14ac:dyDescent="0.15">
      <c r="A570" s="33"/>
      <c r="B570" s="34"/>
      <c r="C570" s="35"/>
      <c r="D570" s="35"/>
    </row>
    <row r="571" spans="1:4" ht="15.75" customHeight="1" x14ac:dyDescent="0.15">
      <c r="A571" s="33"/>
      <c r="B571" s="34"/>
      <c r="C571" s="35"/>
      <c r="D571" s="35"/>
    </row>
    <row r="572" spans="1:4" ht="15.75" customHeight="1" x14ac:dyDescent="0.15">
      <c r="A572" s="33"/>
      <c r="B572" s="34"/>
      <c r="C572" s="35"/>
      <c r="D572" s="35"/>
    </row>
    <row r="573" spans="1:4" ht="15.75" customHeight="1" x14ac:dyDescent="0.15">
      <c r="A573" s="33"/>
      <c r="B573" s="34"/>
      <c r="C573" s="35"/>
      <c r="D573" s="35"/>
    </row>
    <row r="574" spans="1:4" ht="15.75" customHeight="1" x14ac:dyDescent="0.15">
      <c r="A574" s="33"/>
      <c r="B574" s="34"/>
      <c r="C574" s="35"/>
      <c r="D574" s="35"/>
    </row>
    <row r="575" spans="1:4" ht="15.75" customHeight="1" x14ac:dyDescent="0.15">
      <c r="A575" s="33"/>
      <c r="B575" s="34"/>
      <c r="C575" s="35"/>
      <c r="D575" s="35"/>
    </row>
    <row r="576" spans="1:4" ht="15.75" customHeight="1" x14ac:dyDescent="0.15">
      <c r="A576" s="33"/>
      <c r="B576" s="34"/>
      <c r="C576" s="35"/>
      <c r="D576" s="35"/>
    </row>
    <row r="577" spans="1:4" ht="15.75" customHeight="1" x14ac:dyDescent="0.15">
      <c r="A577" s="33"/>
      <c r="B577" s="34"/>
      <c r="C577" s="35"/>
      <c r="D577" s="35"/>
    </row>
    <row r="578" spans="1:4" ht="15.75" customHeight="1" x14ac:dyDescent="0.15">
      <c r="A578" s="33"/>
      <c r="B578" s="34"/>
      <c r="C578" s="35"/>
      <c r="D578" s="35"/>
    </row>
    <row r="579" spans="1:4" ht="15.75" customHeight="1" x14ac:dyDescent="0.15">
      <c r="A579" s="33"/>
      <c r="B579" s="34"/>
      <c r="C579" s="35"/>
      <c r="D579" s="35"/>
    </row>
    <row r="580" spans="1:4" ht="15.75" customHeight="1" x14ac:dyDescent="0.15">
      <c r="A580" s="33"/>
      <c r="B580" s="34"/>
      <c r="C580" s="35"/>
      <c r="D580" s="35"/>
    </row>
    <row r="581" spans="1:4" ht="15.75" customHeight="1" x14ac:dyDescent="0.15">
      <c r="A581" s="33"/>
      <c r="B581" s="34"/>
      <c r="C581" s="35"/>
      <c r="D581" s="35"/>
    </row>
    <row r="582" spans="1:4" ht="15.75" customHeight="1" x14ac:dyDescent="0.15">
      <c r="A582" s="33"/>
      <c r="B582" s="34"/>
      <c r="C582" s="35"/>
      <c r="D582" s="35"/>
    </row>
    <row r="583" spans="1:4" ht="15.75" customHeight="1" x14ac:dyDescent="0.15">
      <c r="A583" s="33"/>
      <c r="B583" s="34"/>
      <c r="C583" s="35"/>
      <c r="D583" s="35"/>
    </row>
    <row r="584" spans="1:4" ht="15.75" customHeight="1" x14ac:dyDescent="0.15">
      <c r="A584" s="33"/>
      <c r="B584" s="34"/>
      <c r="C584" s="35"/>
      <c r="D584" s="35"/>
    </row>
    <row r="585" spans="1:4" ht="15.75" customHeight="1" x14ac:dyDescent="0.15">
      <c r="A585" s="33"/>
      <c r="B585" s="34"/>
      <c r="C585" s="35"/>
      <c r="D585" s="35"/>
    </row>
    <row r="586" spans="1:4" ht="15.75" customHeight="1" x14ac:dyDescent="0.15">
      <c r="A586" s="33"/>
      <c r="B586" s="34"/>
      <c r="C586" s="35"/>
      <c r="D586" s="35"/>
    </row>
    <row r="587" spans="1:4" ht="15.75" customHeight="1" x14ac:dyDescent="0.15">
      <c r="A587" s="33"/>
      <c r="B587" s="34"/>
      <c r="C587" s="35"/>
      <c r="D587" s="35"/>
    </row>
    <row r="588" spans="1:4" ht="15.75" customHeight="1" x14ac:dyDescent="0.15">
      <c r="A588" s="33"/>
      <c r="B588" s="34"/>
      <c r="C588" s="35"/>
      <c r="D588" s="35"/>
    </row>
    <row r="589" spans="1:4" ht="15.75" customHeight="1" x14ac:dyDescent="0.15">
      <c r="A589" s="33"/>
      <c r="B589" s="34"/>
      <c r="C589" s="35"/>
      <c r="D589" s="35"/>
    </row>
    <row r="590" spans="1:4" ht="15.75" customHeight="1" x14ac:dyDescent="0.15">
      <c r="A590" s="33"/>
      <c r="B590" s="34"/>
      <c r="C590" s="35"/>
      <c r="D590" s="35"/>
    </row>
    <row r="591" spans="1:4" ht="15.75" customHeight="1" x14ac:dyDescent="0.15">
      <c r="A591" s="33"/>
      <c r="B591" s="34"/>
      <c r="C591" s="35"/>
      <c r="D591" s="35"/>
    </row>
    <row r="592" spans="1:4" ht="15.75" customHeight="1" x14ac:dyDescent="0.15">
      <c r="A592" s="33"/>
      <c r="B592" s="34"/>
      <c r="C592" s="35"/>
      <c r="D592" s="35"/>
    </row>
    <row r="593" spans="1:4" ht="15.75" customHeight="1" x14ac:dyDescent="0.15">
      <c r="A593" s="33"/>
      <c r="B593" s="34"/>
      <c r="C593" s="35"/>
      <c r="D593" s="35"/>
    </row>
    <row r="594" spans="1:4" ht="15.75" customHeight="1" x14ac:dyDescent="0.15">
      <c r="A594" s="33"/>
      <c r="B594" s="34"/>
      <c r="C594" s="35"/>
      <c r="D594" s="35"/>
    </row>
    <row r="595" spans="1:4" ht="15.75" customHeight="1" x14ac:dyDescent="0.15">
      <c r="A595" s="33"/>
      <c r="B595" s="34"/>
      <c r="C595" s="35"/>
      <c r="D595" s="35"/>
    </row>
    <row r="596" spans="1:4" ht="15.75" customHeight="1" x14ac:dyDescent="0.15">
      <c r="A596" s="33"/>
      <c r="B596" s="34"/>
      <c r="C596" s="35"/>
      <c r="D596" s="35"/>
    </row>
    <row r="597" spans="1:4" ht="15.75" customHeight="1" x14ac:dyDescent="0.15">
      <c r="A597" s="33"/>
      <c r="B597" s="34"/>
      <c r="C597" s="35"/>
      <c r="D597" s="35"/>
    </row>
    <row r="598" spans="1:4" ht="15.75" customHeight="1" x14ac:dyDescent="0.15">
      <c r="A598" s="33"/>
      <c r="B598" s="34"/>
      <c r="C598" s="35"/>
      <c r="D598" s="35"/>
    </row>
    <row r="599" spans="1:4" ht="15.75" customHeight="1" x14ac:dyDescent="0.15">
      <c r="A599" s="33"/>
      <c r="B599" s="34"/>
      <c r="C599" s="35"/>
      <c r="D599" s="35"/>
    </row>
    <row r="600" spans="1:4" ht="15.75" customHeight="1" x14ac:dyDescent="0.15">
      <c r="A600" s="33"/>
      <c r="B600" s="34"/>
      <c r="C600" s="35"/>
      <c r="D600" s="35"/>
    </row>
    <row r="601" spans="1:4" ht="15.75" customHeight="1" x14ac:dyDescent="0.15">
      <c r="A601" s="33"/>
      <c r="B601" s="34"/>
      <c r="C601" s="35"/>
      <c r="D601" s="35"/>
    </row>
    <row r="602" spans="1:4" ht="15.75" customHeight="1" x14ac:dyDescent="0.15">
      <c r="A602" s="33"/>
      <c r="B602" s="34"/>
      <c r="C602" s="35"/>
      <c r="D602" s="35"/>
    </row>
    <row r="603" spans="1:4" ht="15.75" customHeight="1" x14ac:dyDescent="0.15">
      <c r="A603" s="33"/>
      <c r="B603" s="34"/>
      <c r="C603" s="35"/>
      <c r="D603" s="35"/>
    </row>
    <row r="604" spans="1:4" ht="15.75" customHeight="1" x14ac:dyDescent="0.15">
      <c r="A604" s="33"/>
      <c r="B604" s="34"/>
      <c r="C604" s="35"/>
      <c r="D604" s="35"/>
    </row>
    <row r="605" spans="1:4" ht="15.75" customHeight="1" x14ac:dyDescent="0.15">
      <c r="A605" s="33"/>
      <c r="B605" s="34"/>
      <c r="C605" s="35"/>
      <c r="D605" s="35"/>
    </row>
    <row r="606" spans="1:4" ht="15.75" customHeight="1" x14ac:dyDescent="0.15">
      <c r="A606" s="33"/>
      <c r="B606" s="34"/>
      <c r="C606" s="35"/>
      <c r="D606" s="35"/>
    </row>
    <row r="607" spans="1:4" ht="15.75" customHeight="1" x14ac:dyDescent="0.15">
      <c r="A607" s="33"/>
      <c r="B607" s="34"/>
      <c r="C607" s="35"/>
      <c r="D607" s="35"/>
    </row>
    <row r="608" spans="1:4" ht="15.75" customHeight="1" x14ac:dyDescent="0.15">
      <c r="A608" s="33"/>
      <c r="B608" s="34"/>
      <c r="C608" s="35"/>
      <c r="D608" s="35"/>
    </row>
    <row r="609" spans="1:4" ht="15.75" customHeight="1" x14ac:dyDescent="0.15">
      <c r="A609" s="33"/>
      <c r="B609" s="34"/>
      <c r="C609" s="35"/>
      <c r="D609" s="35"/>
    </row>
    <row r="610" spans="1:4" ht="15.75" customHeight="1" x14ac:dyDescent="0.15">
      <c r="A610" s="33"/>
      <c r="B610" s="34"/>
      <c r="C610" s="35"/>
      <c r="D610" s="35"/>
    </row>
    <row r="611" spans="1:4" ht="15.75" customHeight="1" x14ac:dyDescent="0.15">
      <c r="A611" s="33"/>
      <c r="B611" s="34"/>
      <c r="C611" s="35"/>
      <c r="D611" s="35"/>
    </row>
    <row r="612" spans="1:4" ht="15.75" customHeight="1" x14ac:dyDescent="0.15">
      <c r="A612" s="33"/>
      <c r="B612" s="34"/>
      <c r="C612" s="35"/>
      <c r="D612" s="35"/>
    </row>
    <row r="613" spans="1:4" ht="15.75" customHeight="1" x14ac:dyDescent="0.15">
      <c r="A613" s="33"/>
      <c r="B613" s="34"/>
      <c r="C613" s="35"/>
      <c r="D613" s="35"/>
    </row>
    <row r="614" spans="1:4" ht="15.75" customHeight="1" x14ac:dyDescent="0.15">
      <c r="A614" s="33"/>
      <c r="B614" s="34"/>
      <c r="C614" s="35"/>
      <c r="D614" s="35"/>
    </row>
    <row r="615" spans="1:4" ht="15.75" customHeight="1" x14ac:dyDescent="0.15">
      <c r="A615" s="33"/>
      <c r="B615" s="34"/>
      <c r="C615" s="35"/>
      <c r="D615" s="35"/>
    </row>
    <row r="616" spans="1:4" ht="15.75" customHeight="1" x14ac:dyDescent="0.15">
      <c r="A616" s="33"/>
      <c r="B616" s="34"/>
      <c r="C616" s="35"/>
      <c r="D616" s="35"/>
    </row>
    <row r="617" spans="1:4" ht="15.75" customHeight="1" x14ac:dyDescent="0.15">
      <c r="A617" s="33"/>
      <c r="B617" s="34"/>
      <c r="C617" s="35"/>
      <c r="D617" s="35"/>
    </row>
    <row r="618" spans="1:4" ht="15.75" customHeight="1" x14ac:dyDescent="0.15">
      <c r="A618" s="33"/>
      <c r="B618" s="34"/>
      <c r="C618" s="35"/>
      <c r="D618" s="35"/>
    </row>
    <row r="619" spans="1:4" ht="15.75" customHeight="1" x14ac:dyDescent="0.15">
      <c r="A619" s="33"/>
      <c r="B619" s="34"/>
      <c r="C619" s="35"/>
      <c r="D619" s="35"/>
    </row>
    <row r="620" spans="1:4" ht="15.75" customHeight="1" x14ac:dyDescent="0.15">
      <c r="A620" s="33"/>
      <c r="B620" s="34"/>
      <c r="C620" s="35"/>
      <c r="D620" s="35"/>
    </row>
    <row r="621" spans="1:4" ht="15.75" customHeight="1" x14ac:dyDescent="0.15">
      <c r="A621" s="33"/>
      <c r="B621" s="34"/>
      <c r="C621" s="35"/>
      <c r="D621" s="35"/>
    </row>
    <row r="622" spans="1:4" ht="15.75" customHeight="1" x14ac:dyDescent="0.15">
      <c r="A622" s="33"/>
      <c r="B622" s="34"/>
      <c r="C622" s="35"/>
      <c r="D622" s="35"/>
    </row>
    <row r="623" spans="1:4" ht="15.75" customHeight="1" x14ac:dyDescent="0.15">
      <c r="A623" s="33"/>
      <c r="B623" s="34"/>
      <c r="C623" s="35"/>
      <c r="D623" s="35"/>
    </row>
    <row r="624" spans="1:4" ht="15.75" customHeight="1" x14ac:dyDescent="0.15">
      <c r="A624" s="33"/>
      <c r="B624" s="34"/>
      <c r="C624" s="35"/>
      <c r="D624" s="35"/>
    </row>
    <row r="625" spans="1:4" ht="15.75" customHeight="1" x14ac:dyDescent="0.15">
      <c r="A625" s="33"/>
      <c r="B625" s="34"/>
      <c r="C625" s="35"/>
      <c r="D625" s="35"/>
    </row>
    <row r="626" spans="1:4" ht="15.75" customHeight="1" x14ac:dyDescent="0.15">
      <c r="A626" s="33"/>
      <c r="B626" s="34"/>
      <c r="C626" s="35"/>
      <c r="D626" s="35"/>
    </row>
    <row r="627" spans="1:4" ht="15.75" customHeight="1" x14ac:dyDescent="0.15">
      <c r="A627" s="33"/>
      <c r="B627" s="34"/>
      <c r="C627" s="35"/>
      <c r="D627" s="35"/>
    </row>
    <row r="628" spans="1:4" ht="15.75" customHeight="1" x14ac:dyDescent="0.15">
      <c r="A628" s="33"/>
      <c r="B628" s="34"/>
      <c r="C628" s="35"/>
      <c r="D628" s="35"/>
    </row>
    <row r="629" spans="1:4" ht="15.75" customHeight="1" x14ac:dyDescent="0.15">
      <c r="A629" s="33"/>
      <c r="B629" s="34"/>
      <c r="C629" s="35"/>
      <c r="D629" s="35"/>
    </row>
    <row r="630" spans="1:4" ht="15.75" customHeight="1" x14ac:dyDescent="0.15">
      <c r="A630" s="33"/>
      <c r="B630" s="34"/>
      <c r="C630" s="35"/>
      <c r="D630" s="35"/>
    </row>
    <row r="631" spans="1:4" ht="15.75" customHeight="1" x14ac:dyDescent="0.15">
      <c r="A631" s="33"/>
      <c r="B631" s="34"/>
      <c r="C631" s="35"/>
      <c r="D631" s="35"/>
    </row>
    <row r="632" spans="1:4" ht="15.75" customHeight="1" x14ac:dyDescent="0.15">
      <c r="A632" s="33"/>
      <c r="B632" s="34"/>
      <c r="C632" s="35"/>
      <c r="D632" s="35"/>
    </row>
    <row r="633" spans="1:4" ht="15.75" customHeight="1" x14ac:dyDescent="0.15">
      <c r="A633" s="33"/>
      <c r="B633" s="34"/>
      <c r="C633" s="35"/>
      <c r="D633" s="35"/>
    </row>
    <row r="634" spans="1:4" ht="15.75" customHeight="1" x14ac:dyDescent="0.15">
      <c r="A634" s="33"/>
      <c r="B634" s="34"/>
      <c r="C634" s="35"/>
      <c r="D634" s="35"/>
    </row>
    <row r="635" spans="1:4" ht="15.75" customHeight="1" x14ac:dyDescent="0.15">
      <c r="A635" s="33"/>
      <c r="B635" s="34"/>
      <c r="C635" s="35"/>
      <c r="D635" s="35"/>
    </row>
    <row r="636" spans="1:4" ht="15.75" customHeight="1" x14ac:dyDescent="0.15">
      <c r="A636" s="33"/>
      <c r="B636" s="34"/>
      <c r="C636" s="35"/>
      <c r="D636" s="35"/>
    </row>
    <row r="637" spans="1:4" ht="15.75" customHeight="1" x14ac:dyDescent="0.15">
      <c r="A637" s="33"/>
      <c r="B637" s="34"/>
      <c r="C637" s="35"/>
      <c r="D637" s="35"/>
    </row>
    <row r="638" spans="1:4" ht="15.75" customHeight="1" x14ac:dyDescent="0.15">
      <c r="A638" s="33"/>
      <c r="B638" s="34"/>
      <c r="C638" s="35"/>
      <c r="D638" s="35"/>
    </row>
    <row r="639" spans="1:4" ht="15.75" customHeight="1" x14ac:dyDescent="0.15">
      <c r="A639" s="33"/>
      <c r="B639" s="34"/>
      <c r="C639" s="35"/>
      <c r="D639" s="35"/>
    </row>
    <row r="640" spans="1:4" ht="15.75" customHeight="1" x14ac:dyDescent="0.15">
      <c r="A640" s="33"/>
      <c r="B640" s="34"/>
      <c r="C640" s="35"/>
      <c r="D640" s="35"/>
    </row>
    <row r="641" spans="1:4" ht="15.75" customHeight="1" x14ac:dyDescent="0.15">
      <c r="A641" s="33"/>
      <c r="B641" s="34"/>
      <c r="C641" s="35"/>
      <c r="D641" s="35"/>
    </row>
    <row r="642" spans="1:4" ht="15.75" customHeight="1" x14ac:dyDescent="0.15">
      <c r="A642" s="33"/>
      <c r="B642" s="34"/>
      <c r="C642" s="35"/>
      <c r="D642" s="35"/>
    </row>
    <row r="643" spans="1:4" ht="15.75" customHeight="1" x14ac:dyDescent="0.15">
      <c r="A643" s="33"/>
      <c r="B643" s="34"/>
      <c r="C643" s="35"/>
      <c r="D643" s="35"/>
    </row>
    <row r="644" spans="1:4" ht="15.75" customHeight="1" x14ac:dyDescent="0.15">
      <c r="A644" s="33"/>
      <c r="B644" s="34"/>
      <c r="C644" s="35"/>
      <c r="D644" s="35"/>
    </row>
    <row r="645" spans="1:4" ht="15.75" customHeight="1" x14ac:dyDescent="0.15">
      <c r="A645" s="33"/>
      <c r="B645" s="34"/>
      <c r="C645" s="35"/>
      <c r="D645" s="35"/>
    </row>
    <row r="646" spans="1:4" ht="15.75" customHeight="1" x14ac:dyDescent="0.15">
      <c r="A646" s="33"/>
      <c r="B646" s="34"/>
      <c r="C646" s="35"/>
      <c r="D646" s="35"/>
    </row>
    <row r="647" spans="1:4" ht="15.75" customHeight="1" x14ac:dyDescent="0.15">
      <c r="A647" s="33"/>
      <c r="B647" s="34"/>
      <c r="C647" s="35"/>
      <c r="D647" s="35"/>
    </row>
    <row r="648" spans="1:4" ht="15.75" customHeight="1" x14ac:dyDescent="0.15">
      <c r="A648" s="33"/>
      <c r="B648" s="34"/>
      <c r="C648" s="35"/>
      <c r="D648" s="35"/>
    </row>
    <row r="649" spans="1:4" ht="15.75" customHeight="1" x14ac:dyDescent="0.15">
      <c r="A649" s="33"/>
      <c r="B649" s="34"/>
      <c r="C649" s="35"/>
      <c r="D649" s="35"/>
    </row>
    <row r="650" spans="1:4" ht="15.75" customHeight="1" x14ac:dyDescent="0.15">
      <c r="A650" s="33"/>
      <c r="B650" s="34"/>
      <c r="C650" s="35"/>
      <c r="D650" s="35"/>
    </row>
    <row r="651" spans="1:4" ht="15.75" customHeight="1" x14ac:dyDescent="0.15">
      <c r="A651" s="33"/>
      <c r="B651" s="34"/>
      <c r="C651" s="35"/>
      <c r="D651" s="35"/>
    </row>
    <row r="652" spans="1:4" ht="15.75" customHeight="1" x14ac:dyDescent="0.15">
      <c r="A652" s="33"/>
      <c r="B652" s="34"/>
      <c r="C652" s="35"/>
      <c r="D652" s="35"/>
    </row>
    <row r="653" spans="1:4" ht="15.75" customHeight="1" x14ac:dyDescent="0.15">
      <c r="A653" s="33"/>
      <c r="B653" s="34"/>
      <c r="C653" s="35"/>
      <c r="D653" s="35"/>
    </row>
    <row r="654" spans="1:4" ht="15.75" customHeight="1" x14ac:dyDescent="0.15">
      <c r="A654" s="33"/>
      <c r="B654" s="34"/>
      <c r="C654" s="35"/>
      <c r="D654" s="35"/>
    </row>
    <row r="655" spans="1:4" ht="15.75" customHeight="1" x14ac:dyDescent="0.15">
      <c r="A655" s="33"/>
      <c r="B655" s="34"/>
      <c r="C655" s="35"/>
      <c r="D655" s="35"/>
    </row>
    <row r="656" spans="1:4" ht="15.75" customHeight="1" x14ac:dyDescent="0.15">
      <c r="A656" s="33"/>
      <c r="B656" s="34"/>
      <c r="C656" s="35"/>
      <c r="D656" s="35"/>
    </row>
    <row r="657" spans="1:4" ht="15.75" customHeight="1" x14ac:dyDescent="0.15">
      <c r="A657" s="33"/>
      <c r="B657" s="34"/>
      <c r="C657" s="35"/>
      <c r="D657" s="35"/>
    </row>
    <row r="658" spans="1:4" ht="15.75" customHeight="1" x14ac:dyDescent="0.15">
      <c r="A658" s="33"/>
      <c r="B658" s="34"/>
      <c r="C658" s="35"/>
      <c r="D658" s="35"/>
    </row>
    <row r="659" spans="1:4" ht="15.75" customHeight="1" x14ac:dyDescent="0.15">
      <c r="A659" s="33"/>
      <c r="B659" s="34"/>
      <c r="C659" s="35"/>
      <c r="D659" s="35"/>
    </row>
    <row r="660" spans="1:4" ht="15.75" customHeight="1" x14ac:dyDescent="0.15">
      <c r="A660" s="33"/>
      <c r="B660" s="34"/>
      <c r="C660" s="35"/>
      <c r="D660" s="35"/>
    </row>
    <row r="661" spans="1:4" ht="15.75" customHeight="1" x14ac:dyDescent="0.15">
      <c r="A661" s="33"/>
      <c r="B661" s="34"/>
      <c r="C661" s="35"/>
      <c r="D661" s="35"/>
    </row>
    <row r="662" spans="1:4" ht="15.75" customHeight="1" x14ac:dyDescent="0.15">
      <c r="A662" s="33"/>
      <c r="B662" s="34"/>
      <c r="C662" s="35"/>
      <c r="D662" s="35"/>
    </row>
    <row r="663" spans="1:4" ht="15.75" customHeight="1" x14ac:dyDescent="0.15">
      <c r="A663" s="33"/>
      <c r="B663" s="34"/>
      <c r="C663" s="35"/>
      <c r="D663" s="35"/>
    </row>
    <row r="664" spans="1:4" ht="15.75" customHeight="1" x14ac:dyDescent="0.15">
      <c r="A664" s="33"/>
      <c r="B664" s="34"/>
      <c r="C664" s="35"/>
      <c r="D664" s="35"/>
    </row>
    <row r="665" spans="1:4" ht="15.75" customHeight="1" x14ac:dyDescent="0.15">
      <c r="A665" s="33"/>
      <c r="B665" s="34"/>
      <c r="C665" s="35"/>
      <c r="D665" s="35"/>
    </row>
    <row r="666" spans="1:4" ht="15.75" customHeight="1" x14ac:dyDescent="0.15">
      <c r="A666" s="33"/>
      <c r="B666" s="34"/>
      <c r="C666" s="35"/>
      <c r="D666" s="35"/>
    </row>
    <row r="667" spans="1:4" ht="15.75" customHeight="1" x14ac:dyDescent="0.15">
      <c r="A667" s="33"/>
      <c r="B667" s="34"/>
      <c r="C667" s="35"/>
      <c r="D667" s="35"/>
    </row>
    <row r="668" spans="1:4" ht="15.75" customHeight="1" x14ac:dyDescent="0.15">
      <c r="A668" s="33"/>
      <c r="B668" s="34"/>
      <c r="C668" s="35"/>
      <c r="D668" s="35"/>
    </row>
    <row r="669" spans="1:4" ht="15.75" customHeight="1" x14ac:dyDescent="0.15">
      <c r="A669" s="33"/>
      <c r="B669" s="34"/>
      <c r="C669" s="35"/>
      <c r="D669" s="35"/>
    </row>
    <row r="670" spans="1:4" ht="15.75" customHeight="1" x14ac:dyDescent="0.15">
      <c r="A670" s="33"/>
      <c r="B670" s="34"/>
      <c r="C670" s="35"/>
      <c r="D670" s="35"/>
    </row>
    <row r="671" spans="1:4" ht="15.75" customHeight="1" x14ac:dyDescent="0.15">
      <c r="A671" s="33"/>
      <c r="B671" s="34"/>
      <c r="C671" s="35"/>
      <c r="D671" s="35"/>
    </row>
    <row r="672" spans="1:4" ht="15.75" customHeight="1" x14ac:dyDescent="0.15">
      <c r="A672" s="33"/>
      <c r="B672" s="34"/>
      <c r="C672" s="35"/>
      <c r="D672" s="35"/>
    </row>
    <row r="673" spans="1:4" ht="15.75" customHeight="1" x14ac:dyDescent="0.15">
      <c r="A673" s="33"/>
      <c r="B673" s="34"/>
      <c r="C673" s="35"/>
      <c r="D673" s="35"/>
    </row>
    <row r="674" spans="1:4" ht="15.75" customHeight="1" x14ac:dyDescent="0.15">
      <c r="A674" s="33"/>
      <c r="B674" s="34"/>
      <c r="C674" s="35"/>
      <c r="D674" s="35"/>
    </row>
    <row r="675" spans="1:4" ht="15.75" customHeight="1" x14ac:dyDescent="0.15">
      <c r="A675" s="33"/>
      <c r="B675" s="34"/>
      <c r="C675" s="35"/>
      <c r="D675" s="35"/>
    </row>
    <row r="676" spans="1:4" ht="15.75" customHeight="1" x14ac:dyDescent="0.15">
      <c r="A676" s="33"/>
      <c r="B676" s="34"/>
      <c r="C676" s="35"/>
      <c r="D676" s="35"/>
    </row>
    <row r="677" spans="1:4" ht="15.75" customHeight="1" x14ac:dyDescent="0.15">
      <c r="A677" s="33"/>
      <c r="B677" s="34"/>
      <c r="C677" s="35"/>
      <c r="D677" s="35"/>
    </row>
    <row r="678" spans="1:4" ht="15.75" customHeight="1" x14ac:dyDescent="0.15">
      <c r="A678" s="33"/>
      <c r="B678" s="34"/>
      <c r="C678" s="35"/>
      <c r="D678" s="35"/>
    </row>
    <row r="679" spans="1:4" ht="15.75" customHeight="1" x14ac:dyDescent="0.15">
      <c r="A679" s="33"/>
      <c r="B679" s="34"/>
      <c r="C679" s="35"/>
      <c r="D679" s="35"/>
    </row>
    <row r="680" spans="1:4" ht="15.75" customHeight="1" x14ac:dyDescent="0.15">
      <c r="A680" s="33"/>
      <c r="B680" s="34"/>
      <c r="C680" s="35"/>
      <c r="D680" s="35"/>
    </row>
    <row r="681" spans="1:4" ht="15.75" customHeight="1" x14ac:dyDescent="0.15">
      <c r="A681" s="33"/>
      <c r="B681" s="34"/>
      <c r="C681" s="35"/>
      <c r="D681" s="35"/>
    </row>
    <row r="682" spans="1:4" ht="15.75" customHeight="1" x14ac:dyDescent="0.15">
      <c r="A682" s="33"/>
      <c r="B682" s="34"/>
      <c r="C682" s="35"/>
      <c r="D682" s="35"/>
    </row>
    <row r="683" spans="1:4" ht="15.75" customHeight="1" x14ac:dyDescent="0.15">
      <c r="A683" s="33"/>
      <c r="B683" s="34"/>
      <c r="C683" s="35"/>
      <c r="D683" s="35"/>
    </row>
    <row r="684" spans="1:4" ht="15.75" customHeight="1" x14ac:dyDescent="0.15">
      <c r="A684" s="33"/>
      <c r="B684" s="34"/>
      <c r="C684" s="35"/>
      <c r="D684" s="35"/>
    </row>
    <row r="685" spans="1:4" ht="15.75" customHeight="1" x14ac:dyDescent="0.15">
      <c r="A685" s="33"/>
      <c r="B685" s="34"/>
      <c r="C685" s="35"/>
      <c r="D685" s="35"/>
    </row>
    <row r="686" spans="1:4" ht="15.75" customHeight="1" x14ac:dyDescent="0.15">
      <c r="A686" s="33"/>
      <c r="B686" s="34"/>
      <c r="C686" s="35"/>
      <c r="D686" s="35"/>
    </row>
    <row r="687" spans="1:4" ht="15.75" customHeight="1" x14ac:dyDescent="0.15">
      <c r="A687" s="33"/>
      <c r="B687" s="34"/>
      <c r="C687" s="35"/>
      <c r="D687" s="35"/>
    </row>
    <row r="688" spans="1:4" ht="15.75" customHeight="1" x14ac:dyDescent="0.15">
      <c r="A688" s="33"/>
      <c r="B688" s="34"/>
      <c r="C688" s="35"/>
      <c r="D688" s="35"/>
    </row>
    <row r="689" spans="1:4" ht="15.75" customHeight="1" x14ac:dyDescent="0.15">
      <c r="A689" s="33"/>
      <c r="B689" s="34"/>
      <c r="C689" s="35"/>
      <c r="D689" s="35"/>
    </row>
    <row r="690" spans="1:4" ht="15.75" customHeight="1" x14ac:dyDescent="0.15">
      <c r="A690" s="33"/>
      <c r="B690" s="34"/>
      <c r="C690" s="35"/>
      <c r="D690" s="35"/>
    </row>
    <row r="691" spans="1:4" ht="15.75" customHeight="1" x14ac:dyDescent="0.15">
      <c r="A691" s="33"/>
      <c r="B691" s="34"/>
      <c r="C691" s="35"/>
      <c r="D691" s="35"/>
    </row>
    <row r="692" spans="1:4" ht="15.75" customHeight="1" x14ac:dyDescent="0.15">
      <c r="A692" s="33"/>
      <c r="B692" s="34"/>
      <c r="C692" s="35"/>
      <c r="D692" s="35"/>
    </row>
    <row r="693" spans="1:4" ht="15.75" customHeight="1" x14ac:dyDescent="0.15">
      <c r="A693" s="33"/>
      <c r="B693" s="34"/>
      <c r="C693" s="35"/>
      <c r="D693" s="35"/>
    </row>
    <row r="694" spans="1:4" ht="15.75" customHeight="1" x14ac:dyDescent="0.15">
      <c r="A694" s="33"/>
      <c r="B694" s="34"/>
      <c r="C694" s="35"/>
      <c r="D694" s="35"/>
    </row>
    <row r="695" spans="1:4" ht="15.75" customHeight="1" x14ac:dyDescent="0.15">
      <c r="A695" s="33"/>
      <c r="B695" s="34"/>
      <c r="C695" s="35"/>
      <c r="D695" s="35"/>
    </row>
    <row r="696" spans="1:4" ht="15.75" customHeight="1" x14ac:dyDescent="0.15">
      <c r="A696" s="33"/>
      <c r="B696" s="34"/>
      <c r="C696" s="35"/>
      <c r="D696" s="35"/>
    </row>
    <row r="697" spans="1:4" ht="15.75" customHeight="1" x14ac:dyDescent="0.15">
      <c r="A697" s="33"/>
      <c r="B697" s="34"/>
      <c r="C697" s="35"/>
      <c r="D697" s="35"/>
    </row>
    <row r="698" spans="1:4" ht="15.75" customHeight="1" x14ac:dyDescent="0.15">
      <c r="A698" s="33"/>
      <c r="B698" s="34"/>
      <c r="C698" s="35"/>
      <c r="D698" s="35"/>
    </row>
    <row r="699" spans="1:4" ht="15.75" customHeight="1" x14ac:dyDescent="0.15">
      <c r="A699" s="33"/>
      <c r="B699" s="34"/>
      <c r="C699" s="35"/>
      <c r="D699" s="35"/>
    </row>
    <row r="700" spans="1:4" ht="15.75" customHeight="1" x14ac:dyDescent="0.15">
      <c r="A700" s="33"/>
      <c r="B700" s="34"/>
      <c r="C700" s="35"/>
      <c r="D700" s="35"/>
    </row>
    <row r="701" spans="1:4" ht="15.75" customHeight="1" x14ac:dyDescent="0.15">
      <c r="A701" s="33"/>
      <c r="B701" s="34"/>
      <c r="C701" s="35"/>
      <c r="D701" s="35"/>
    </row>
    <row r="702" spans="1:4" ht="15.75" customHeight="1" x14ac:dyDescent="0.15">
      <c r="A702" s="33"/>
      <c r="B702" s="34"/>
      <c r="C702" s="35"/>
      <c r="D702" s="35"/>
    </row>
    <row r="703" spans="1:4" ht="15.75" customHeight="1" x14ac:dyDescent="0.15">
      <c r="A703" s="33"/>
      <c r="B703" s="34"/>
      <c r="C703" s="35"/>
      <c r="D703" s="35"/>
    </row>
    <row r="704" spans="1:4" ht="15.75" customHeight="1" x14ac:dyDescent="0.15">
      <c r="A704" s="33"/>
      <c r="B704" s="34"/>
      <c r="C704" s="35"/>
      <c r="D704" s="35"/>
    </row>
    <row r="705" spans="1:4" ht="15.75" customHeight="1" x14ac:dyDescent="0.15">
      <c r="A705" s="33"/>
      <c r="B705" s="34"/>
      <c r="C705" s="35"/>
      <c r="D705" s="35"/>
    </row>
    <row r="706" spans="1:4" ht="15.75" customHeight="1" x14ac:dyDescent="0.15">
      <c r="A706" s="33"/>
      <c r="B706" s="34"/>
      <c r="C706" s="35"/>
      <c r="D706" s="35"/>
    </row>
    <row r="707" spans="1:4" ht="15.75" customHeight="1" x14ac:dyDescent="0.15">
      <c r="A707" s="33"/>
      <c r="B707" s="34"/>
      <c r="C707" s="35"/>
      <c r="D707" s="35"/>
    </row>
    <row r="708" spans="1:4" ht="15.75" customHeight="1" x14ac:dyDescent="0.15">
      <c r="A708" s="33"/>
      <c r="B708" s="34"/>
      <c r="C708" s="35"/>
      <c r="D708" s="35"/>
    </row>
    <row r="709" spans="1:4" ht="15.75" customHeight="1" x14ac:dyDescent="0.15">
      <c r="A709" s="33"/>
      <c r="B709" s="34"/>
      <c r="C709" s="35"/>
      <c r="D709" s="35"/>
    </row>
    <row r="710" spans="1:4" ht="15.75" customHeight="1" x14ac:dyDescent="0.15">
      <c r="A710" s="33"/>
      <c r="B710" s="34"/>
      <c r="C710" s="35"/>
      <c r="D710" s="35"/>
    </row>
    <row r="711" spans="1:4" ht="15.75" customHeight="1" x14ac:dyDescent="0.15">
      <c r="A711" s="33"/>
      <c r="B711" s="34"/>
      <c r="C711" s="35"/>
      <c r="D711" s="35"/>
    </row>
    <row r="712" spans="1:4" ht="15.75" customHeight="1" x14ac:dyDescent="0.15">
      <c r="A712" s="33"/>
      <c r="B712" s="34"/>
      <c r="C712" s="35"/>
      <c r="D712" s="35"/>
    </row>
    <row r="713" spans="1:4" ht="15.75" customHeight="1" x14ac:dyDescent="0.15">
      <c r="A713" s="33"/>
      <c r="B713" s="34"/>
      <c r="C713" s="35"/>
      <c r="D713" s="35"/>
    </row>
    <row r="714" spans="1:4" ht="15.75" customHeight="1" x14ac:dyDescent="0.15">
      <c r="A714" s="33"/>
      <c r="B714" s="34"/>
      <c r="C714" s="35"/>
      <c r="D714" s="35"/>
    </row>
    <row r="715" spans="1:4" ht="15.75" customHeight="1" x14ac:dyDescent="0.15">
      <c r="A715" s="33"/>
      <c r="B715" s="34"/>
      <c r="C715" s="35"/>
      <c r="D715" s="35"/>
    </row>
    <row r="716" spans="1:4" ht="15.75" customHeight="1" x14ac:dyDescent="0.15">
      <c r="A716" s="33"/>
      <c r="B716" s="34"/>
      <c r="C716" s="35"/>
      <c r="D716" s="35"/>
    </row>
    <row r="717" spans="1:4" ht="15.75" customHeight="1" x14ac:dyDescent="0.15">
      <c r="A717" s="33"/>
      <c r="B717" s="34"/>
      <c r="C717" s="35"/>
      <c r="D717" s="35"/>
    </row>
    <row r="718" spans="1:4" ht="15.75" customHeight="1" x14ac:dyDescent="0.15">
      <c r="A718" s="33"/>
      <c r="B718" s="34"/>
      <c r="C718" s="35"/>
      <c r="D718" s="35"/>
    </row>
    <row r="719" spans="1:4" ht="15.75" customHeight="1" x14ac:dyDescent="0.15">
      <c r="A719" s="33"/>
      <c r="B719" s="34"/>
      <c r="C719" s="35"/>
      <c r="D719" s="35"/>
    </row>
    <row r="720" spans="1:4" ht="15.75" customHeight="1" x14ac:dyDescent="0.15">
      <c r="A720" s="33"/>
      <c r="B720" s="34"/>
      <c r="C720" s="35"/>
      <c r="D720" s="35"/>
    </row>
    <row r="721" spans="1:4" ht="15.75" customHeight="1" x14ac:dyDescent="0.15">
      <c r="A721" s="33"/>
      <c r="B721" s="34"/>
      <c r="C721" s="35"/>
      <c r="D721" s="35"/>
    </row>
    <row r="722" spans="1:4" ht="15.75" customHeight="1" x14ac:dyDescent="0.15">
      <c r="A722" s="33"/>
      <c r="B722" s="34"/>
      <c r="C722" s="35"/>
      <c r="D722" s="35"/>
    </row>
    <row r="723" spans="1:4" ht="15.75" customHeight="1" x14ac:dyDescent="0.15">
      <c r="A723" s="33"/>
      <c r="B723" s="34"/>
      <c r="C723" s="35"/>
      <c r="D723" s="35"/>
    </row>
    <row r="724" spans="1:4" ht="15.75" customHeight="1" x14ac:dyDescent="0.15">
      <c r="A724" s="33"/>
      <c r="B724" s="34"/>
      <c r="C724" s="35"/>
      <c r="D724" s="35"/>
    </row>
    <row r="725" spans="1:4" ht="15.75" customHeight="1" x14ac:dyDescent="0.15">
      <c r="A725" s="33"/>
      <c r="B725" s="34"/>
      <c r="C725" s="35"/>
      <c r="D725" s="35"/>
    </row>
    <row r="726" spans="1:4" ht="15.75" customHeight="1" x14ac:dyDescent="0.15">
      <c r="A726" s="33"/>
      <c r="B726" s="34"/>
      <c r="C726" s="35"/>
      <c r="D726" s="35"/>
    </row>
    <row r="727" spans="1:4" ht="15.75" customHeight="1" x14ac:dyDescent="0.15">
      <c r="A727" s="33"/>
      <c r="B727" s="34"/>
      <c r="C727" s="35"/>
      <c r="D727" s="35"/>
    </row>
    <row r="728" spans="1:4" ht="15.75" customHeight="1" x14ac:dyDescent="0.15">
      <c r="A728" s="33"/>
      <c r="B728" s="34"/>
      <c r="C728" s="35"/>
      <c r="D728" s="35"/>
    </row>
    <row r="729" spans="1:4" ht="15.75" customHeight="1" x14ac:dyDescent="0.15">
      <c r="A729" s="33"/>
      <c r="B729" s="34"/>
      <c r="C729" s="35"/>
      <c r="D729" s="35"/>
    </row>
    <row r="730" spans="1:4" ht="15.75" customHeight="1" x14ac:dyDescent="0.15">
      <c r="A730" s="33"/>
      <c r="B730" s="34"/>
      <c r="C730" s="35"/>
      <c r="D730" s="35"/>
    </row>
    <row r="731" spans="1:4" ht="15.75" customHeight="1" x14ac:dyDescent="0.15">
      <c r="A731" s="33"/>
      <c r="B731" s="34"/>
      <c r="C731" s="35"/>
      <c r="D731" s="35"/>
    </row>
    <row r="732" spans="1:4" ht="15.75" customHeight="1" x14ac:dyDescent="0.15">
      <c r="A732" s="33"/>
      <c r="B732" s="34"/>
      <c r="C732" s="35"/>
      <c r="D732" s="35"/>
    </row>
    <row r="733" spans="1:4" ht="15.75" customHeight="1" x14ac:dyDescent="0.15">
      <c r="A733" s="33"/>
      <c r="B733" s="34"/>
      <c r="C733" s="35"/>
      <c r="D733" s="35"/>
    </row>
    <row r="734" spans="1:4" ht="15.75" customHeight="1" x14ac:dyDescent="0.15">
      <c r="A734" s="33"/>
      <c r="B734" s="34"/>
      <c r="C734" s="35"/>
      <c r="D734" s="35"/>
    </row>
    <row r="735" spans="1:4" ht="15.75" customHeight="1" x14ac:dyDescent="0.15">
      <c r="A735" s="33"/>
      <c r="B735" s="34"/>
      <c r="C735" s="35"/>
      <c r="D735" s="35"/>
    </row>
    <row r="736" spans="1:4" ht="15.75" customHeight="1" x14ac:dyDescent="0.15">
      <c r="A736" s="33"/>
      <c r="B736" s="34"/>
      <c r="C736" s="35"/>
      <c r="D736" s="35"/>
    </row>
    <row r="737" spans="1:4" ht="15.75" customHeight="1" x14ac:dyDescent="0.15">
      <c r="A737" s="33"/>
      <c r="B737" s="34"/>
      <c r="C737" s="35"/>
      <c r="D737" s="35"/>
    </row>
    <row r="738" spans="1:4" ht="15.75" customHeight="1" x14ac:dyDescent="0.15">
      <c r="A738" s="33"/>
      <c r="B738" s="34"/>
      <c r="C738" s="35"/>
      <c r="D738" s="35"/>
    </row>
    <row r="739" spans="1:4" ht="15.75" customHeight="1" x14ac:dyDescent="0.15">
      <c r="A739" s="33"/>
      <c r="B739" s="34"/>
      <c r="C739" s="35"/>
      <c r="D739" s="35"/>
    </row>
    <row r="740" spans="1:4" ht="15.75" customHeight="1" x14ac:dyDescent="0.15">
      <c r="A740" s="33"/>
      <c r="B740" s="34"/>
      <c r="C740" s="35"/>
      <c r="D740" s="35"/>
    </row>
    <row r="741" spans="1:4" ht="15.75" customHeight="1" x14ac:dyDescent="0.15">
      <c r="A741" s="33"/>
      <c r="B741" s="34"/>
      <c r="C741" s="35"/>
      <c r="D741" s="35"/>
    </row>
    <row r="742" spans="1:4" ht="15.75" customHeight="1" x14ac:dyDescent="0.15">
      <c r="A742" s="33"/>
      <c r="B742" s="34"/>
      <c r="C742" s="35"/>
      <c r="D742" s="35"/>
    </row>
    <row r="743" spans="1:4" ht="15.75" customHeight="1" x14ac:dyDescent="0.15">
      <c r="A743" s="33"/>
      <c r="B743" s="34"/>
      <c r="C743" s="35"/>
      <c r="D743" s="35"/>
    </row>
    <row r="744" spans="1:4" ht="15.75" customHeight="1" x14ac:dyDescent="0.15">
      <c r="A744" s="33"/>
      <c r="B744" s="34"/>
      <c r="C744" s="35"/>
      <c r="D744" s="35"/>
    </row>
    <row r="745" spans="1:4" ht="15.75" customHeight="1" x14ac:dyDescent="0.15">
      <c r="A745" s="33"/>
      <c r="B745" s="34"/>
      <c r="C745" s="35"/>
      <c r="D745" s="35"/>
    </row>
    <row r="746" spans="1:4" ht="15.75" customHeight="1" x14ac:dyDescent="0.15">
      <c r="A746" s="33"/>
      <c r="B746" s="34"/>
      <c r="C746" s="35"/>
      <c r="D746" s="35"/>
    </row>
    <row r="747" spans="1:4" ht="15.75" customHeight="1" x14ac:dyDescent="0.15">
      <c r="A747" s="33"/>
      <c r="B747" s="34"/>
      <c r="C747" s="35"/>
      <c r="D747" s="35"/>
    </row>
    <row r="748" spans="1:4" ht="15.75" customHeight="1" x14ac:dyDescent="0.15">
      <c r="A748" s="33"/>
      <c r="B748" s="34"/>
      <c r="C748" s="35"/>
      <c r="D748" s="35"/>
    </row>
    <row r="749" spans="1:4" ht="15.75" customHeight="1" x14ac:dyDescent="0.15">
      <c r="A749" s="33"/>
      <c r="B749" s="34"/>
      <c r="C749" s="35"/>
      <c r="D749" s="35"/>
    </row>
    <row r="750" spans="1:4" ht="15.75" customHeight="1" x14ac:dyDescent="0.15">
      <c r="A750" s="33"/>
      <c r="B750" s="34"/>
      <c r="C750" s="35"/>
      <c r="D750" s="35"/>
    </row>
    <row r="751" spans="1:4" ht="15.75" customHeight="1" x14ac:dyDescent="0.15">
      <c r="A751" s="33"/>
      <c r="B751" s="34"/>
      <c r="C751" s="35"/>
      <c r="D751" s="35"/>
    </row>
    <row r="752" spans="1:4" ht="15.75" customHeight="1" x14ac:dyDescent="0.15">
      <c r="A752" s="33"/>
      <c r="B752" s="34"/>
      <c r="C752" s="35"/>
      <c r="D752" s="35"/>
    </row>
    <row r="753" spans="1:4" ht="15.75" customHeight="1" x14ac:dyDescent="0.15">
      <c r="A753" s="33"/>
      <c r="B753" s="34"/>
      <c r="C753" s="35"/>
      <c r="D753" s="35"/>
    </row>
    <row r="754" spans="1:4" ht="15.75" customHeight="1" x14ac:dyDescent="0.15">
      <c r="A754" s="33"/>
      <c r="B754" s="34"/>
      <c r="C754" s="35"/>
      <c r="D754" s="35"/>
    </row>
    <row r="755" spans="1:4" ht="15.75" customHeight="1" x14ac:dyDescent="0.15">
      <c r="A755" s="33"/>
      <c r="B755" s="34"/>
      <c r="C755" s="35"/>
      <c r="D755" s="35"/>
    </row>
    <row r="756" spans="1:4" ht="15.75" customHeight="1" x14ac:dyDescent="0.15">
      <c r="A756" s="33"/>
      <c r="B756" s="34"/>
      <c r="C756" s="35"/>
      <c r="D756" s="35"/>
    </row>
    <row r="757" spans="1:4" ht="15.75" customHeight="1" x14ac:dyDescent="0.15">
      <c r="A757" s="33"/>
      <c r="B757" s="34"/>
      <c r="C757" s="35"/>
      <c r="D757" s="35"/>
    </row>
    <row r="758" spans="1:4" ht="15.75" customHeight="1" x14ac:dyDescent="0.15">
      <c r="A758" s="33"/>
      <c r="B758" s="34"/>
      <c r="C758" s="35"/>
      <c r="D758" s="35"/>
    </row>
    <row r="759" spans="1:4" ht="15.75" customHeight="1" x14ac:dyDescent="0.15">
      <c r="A759" s="33"/>
      <c r="B759" s="34"/>
      <c r="C759" s="35"/>
      <c r="D759" s="35"/>
    </row>
    <row r="760" spans="1:4" ht="15.75" customHeight="1" x14ac:dyDescent="0.15">
      <c r="A760" s="33"/>
      <c r="B760" s="34"/>
      <c r="C760" s="35"/>
      <c r="D760" s="35"/>
    </row>
    <row r="761" spans="1:4" ht="15.75" customHeight="1" x14ac:dyDescent="0.15">
      <c r="A761" s="33"/>
      <c r="B761" s="34"/>
      <c r="C761" s="35"/>
      <c r="D761" s="35"/>
    </row>
    <row r="762" spans="1:4" ht="15.75" customHeight="1" x14ac:dyDescent="0.15">
      <c r="A762" s="33"/>
      <c r="B762" s="34"/>
      <c r="C762" s="35"/>
      <c r="D762" s="35"/>
    </row>
    <row r="763" spans="1:4" ht="15.75" customHeight="1" x14ac:dyDescent="0.15">
      <c r="A763" s="33"/>
      <c r="B763" s="34"/>
      <c r="C763" s="35"/>
      <c r="D763" s="35"/>
    </row>
    <row r="764" spans="1:4" ht="15.75" customHeight="1" x14ac:dyDescent="0.15">
      <c r="A764" s="33"/>
      <c r="B764" s="34"/>
      <c r="C764" s="35"/>
      <c r="D764" s="35"/>
    </row>
    <row r="765" spans="1:4" ht="15.75" customHeight="1" x14ac:dyDescent="0.15">
      <c r="A765" s="33"/>
      <c r="B765" s="34"/>
      <c r="C765" s="35"/>
      <c r="D765" s="35"/>
    </row>
    <row r="766" spans="1:4" ht="15.75" customHeight="1" x14ac:dyDescent="0.15">
      <c r="A766" s="33"/>
      <c r="B766" s="34"/>
      <c r="C766" s="35"/>
      <c r="D766" s="35"/>
    </row>
    <row r="767" spans="1:4" ht="15.75" customHeight="1" x14ac:dyDescent="0.15">
      <c r="A767" s="33"/>
      <c r="B767" s="34"/>
      <c r="C767" s="35"/>
      <c r="D767" s="35"/>
    </row>
    <row r="768" spans="1:4" ht="15.75" customHeight="1" x14ac:dyDescent="0.15">
      <c r="A768" s="33"/>
      <c r="B768" s="34"/>
      <c r="C768" s="35"/>
      <c r="D768" s="35"/>
    </row>
    <row r="769" spans="1:4" ht="15.75" customHeight="1" x14ac:dyDescent="0.15">
      <c r="A769" s="33"/>
      <c r="B769" s="34"/>
      <c r="C769" s="35"/>
      <c r="D769" s="35"/>
    </row>
    <row r="770" spans="1:4" ht="15.75" customHeight="1" x14ac:dyDescent="0.15">
      <c r="A770" s="33"/>
      <c r="B770" s="34"/>
      <c r="C770" s="35"/>
      <c r="D770" s="35"/>
    </row>
    <row r="771" spans="1:4" ht="15.75" customHeight="1" x14ac:dyDescent="0.15">
      <c r="A771" s="33"/>
      <c r="B771" s="34"/>
      <c r="C771" s="35"/>
      <c r="D771" s="35"/>
    </row>
    <row r="772" spans="1:4" ht="15.75" customHeight="1" x14ac:dyDescent="0.15">
      <c r="A772" s="33"/>
      <c r="B772" s="34"/>
      <c r="C772" s="35"/>
      <c r="D772" s="35"/>
    </row>
    <row r="773" spans="1:4" ht="15.75" customHeight="1" x14ac:dyDescent="0.15">
      <c r="A773" s="33"/>
      <c r="B773" s="34"/>
      <c r="C773" s="35"/>
      <c r="D773" s="35"/>
    </row>
    <row r="774" spans="1:4" ht="15.75" customHeight="1" x14ac:dyDescent="0.15">
      <c r="A774" s="33"/>
      <c r="B774" s="34"/>
      <c r="C774" s="35"/>
      <c r="D774" s="35"/>
    </row>
    <row r="775" spans="1:4" ht="15.75" customHeight="1" x14ac:dyDescent="0.15">
      <c r="A775" s="33"/>
      <c r="B775" s="34"/>
      <c r="C775" s="35"/>
      <c r="D775" s="35"/>
    </row>
    <row r="776" spans="1:4" ht="15.75" customHeight="1" x14ac:dyDescent="0.15">
      <c r="A776" s="33"/>
      <c r="B776" s="34"/>
      <c r="C776" s="35"/>
      <c r="D776" s="35"/>
    </row>
    <row r="777" spans="1:4" ht="15.75" customHeight="1" x14ac:dyDescent="0.15">
      <c r="A777" s="33"/>
      <c r="B777" s="34"/>
      <c r="C777" s="35"/>
      <c r="D777" s="35"/>
    </row>
    <row r="778" spans="1:4" ht="15.75" customHeight="1" x14ac:dyDescent="0.15">
      <c r="A778" s="33"/>
      <c r="B778" s="34"/>
      <c r="C778" s="35"/>
      <c r="D778" s="35"/>
    </row>
    <row r="779" spans="1:4" ht="15.75" customHeight="1" x14ac:dyDescent="0.15">
      <c r="A779" s="33"/>
      <c r="B779" s="34"/>
      <c r="C779" s="35"/>
      <c r="D779" s="35"/>
    </row>
    <row r="780" spans="1:4" ht="15.75" customHeight="1" x14ac:dyDescent="0.15">
      <c r="A780" s="33"/>
      <c r="B780" s="34"/>
      <c r="C780" s="35"/>
      <c r="D780" s="35"/>
    </row>
    <row r="781" spans="1:4" ht="15.75" customHeight="1" x14ac:dyDescent="0.15">
      <c r="A781" s="33"/>
      <c r="B781" s="34"/>
      <c r="C781" s="35"/>
      <c r="D781" s="35"/>
    </row>
    <row r="782" spans="1:4" ht="15.75" customHeight="1" x14ac:dyDescent="0.15">
      <c r="A782" s="33"/>
      <c r="B782" s="34"/>
      <c r="C782" s="35"/>
      <c r="D782" s="35"/>
    </row>
    <row r="783" spans="1:4" ht="15.75" customHeight="1" x14ac:dyDescent="0.15">
      <c r="A783" s="33"/>
      <c r="B783" s="34"/>
      <c r="C783" s="35"/>
      <c r="D783" s="35"/>
    </row>
    <row r="784" spans="1:4" ht="15.75" customHeight="1" x14ac:dyDescent="0.15">
      <c r="A784" s="33"/>
      <c r="B784" s="34"/>
      <c r="C784" s="35"/>
      <c r="D784" s="35"/>
    </row>
    <row r="785" spans="1:4" ht="15.75" customHeight="1" x14ac:dyDescent="0.15">
      <c r="A785" s="33"/>
      <c r="B785" s="34"/>
      <c r="C785" s="35"/>
      <c r="D785" s="35"/>
    </row>
    <row r="786" spans="1:4" ht="15.75" customHeight="1" x14ac:dyDescent="0.15">
      <c r="A786" s="33"/>
      <c r="B786" s="34"/>
      <c r="C786" s="35"/>
      <c r="D786" s="35"/>
    </row>
    <row r="787" spans="1:4" ht="15.75" customHeight="1" x14ac:dyDescent="0.15">
      <c r="A787" s="33"/>
      <c r="B787" s="34"/>
      <c r="C787" s="35"/>
      <c r="D787" s="35"/>
    </row>
    <row r="788" spans="1:4" ht="15.75" customHeight="1" x14ac:dyDescent="0.15">
      <c r="A788" s="33"/>
      <c r="B788" s="34"/>
      <c r="C788" s="35"/>
      <c r="D788" s="35"/>
    </row>
    <row r="789" spans="1:4" ht="15.75" customHeight="1" x14ac:dyDescent="0.15">
      <c r="A789" s="33"/>
      <c r="B789" s="34"/>
      <c r="C789" s="35"/>
      <c r="D789" s="35"/>
    </row>
    <row r="790" spans="1:4" ht="15.75" customHeight="1" x14ac:dyDescent="0.15">
      <c r="A790" s="33"/>
      <c r="B790" s="34"/>
      <c r="C790" s="35"/>
      <c r="D790" s="35"/>
    </row>
    <row r="791" spans="1:4" ht="15.75" customHeight="1" x14ac:dyDescent="0.15">
      <c r="A791" s="33"/>
      <c r="B791" s="34"/>
      <c r="C791" s="35"/>
      <c r="D791" s="35"/>
    </row>
    <row r="792" spans="1:4" ht="15.75" customHeight="1" x14ac:dyDescent="0.15">
      <c r="A792" s="33"/>
      <c r="B792" s="34"/>
      <c r="C792" s="35"/>
      <c r="D792" s="35"/>
    </row>
    <row r="793" spans="1:4" ht="15.75" customHeight="1" x14ac:dyDescent="0.15">
      <c r="A793" s="33"/>
      <c r="B793" s="34"/>
      <c r="C793" s="35"/>
      <c r="D793" s="35"/>
    </row>
    <row r="794" spans="1:4" ht="15.75" customHeight="1" x14ac:dyDescent="0.15">
      <c r="A794" s="33"/>
      <c r="B794" s="34"/>
      <c r="C794" s="35"/>
      <c r="D794" s="35"/>
    </row>
    <row r="795" spans="1:4" ht="15.75" customHeight="1" x14ac:dyDescent="0.15">
      <c r="A795" s="33"/>
      <c r="B795" s="34"/>
      <c r="C795" s="35"/>
      <c r="D795" s="35"/>
    </row>
    <row r="796" spans="1:4" ht="15.75" customHeight="1" x14ac:dyDescent="0.15">
      <c r="A796" s="33"/>
      <c r="B796" s="34"/>
      <c r="C796" s="35"/>
      <c r="D796" s="35"/>
    </row>
    <row r="797" spans="1:4" ht="15.75" customHeight="1" x14ac:dyDescent="0.15">
      <c r="A797" s="33"/>
      <c r="B797" s="34"/>
      <c r="C797" s="35"/>
      <c r="D797" s="35"/>
    </row>
    <row r="798" spans="1:4" ht="15.75" customHeight="1" x14ac:dyDescent="0.15">
      <c r="A798" s="33"/>
      <c r="B798" s="34"/>
      <c r="C798" s="35"/>
      <c r="D798" s="35"/>
    </row>
    <row r="799" spans="1:4" ht="15.75" customHeight="1" x14ac:dyDescent="0.15">
      <c r="A799" s="33"/>
      <c r="B799" s="34"/>
      <c r="C799" s="35"/>
      <c r="D799" s="35"/>
    </row>
    <row r="800" spans="1:4" ht="15.75" customHeight="1" x14ac:dyDescent="0.15">
      <c r="A800" s="33"/>
      <c r="B800" s="34"/>
      <c r="C800" s="35"/>
      <c r="D800" s="35"/>
    </row>
    <row r="801" spans="1:4" ht="15.75" customHeight="1" x14ac:dyDescent="0.15">
      <c r="A801" s="33"/>
      <c r="B801" s="34"/>
      <c r="C801" s="35"/>
      <c r="D801" s="35"/>
    </row>
    <row r="802" spans="1:4" ht="15.75" customHeight="1" x14ac:dyDescent="0.15">
      <c r="A802" s="33"/>
      <c r="B802" s="34"/>
      <c r="C802" s="35"/>
      <c r="D802" s="35"/>
    </row>
    <row r="803" spans="1:4" ht="15.75" customHeight="1" x14ac:dyDescent="0.15">
      <c r="A803" s="33"/>
      <c r="B803" s="34"/>
      <c r="C803" s="35"/>
      <c r="D803" s="35"/>
    </row>
    <row r="804" spans="1:4" ht="15.75" customHeight="1" x14ac:dyDescent="0.15">
      <c r="A804" s="33"/>
      <c r="B804" s="34"/>
      <c r="C804" s="35"/>
      <c r="D804" s="35"/>
    </row>
    <row r="805" spans="1:4" ht="15.75" customHeight="1" x14ac:dyDescent="0.15">
      <c r="A805" s="33"/>
      <c r="B805" s="34"/>
      <c r="C805" s="35"/>
      <c r="D805" s="35"/>
    </row>
    <row r="806" spans="1:4" ht="15.75" customHeight="1" x14ac:dyDescent="0.15">
      <c r="A806" s="33"/>
      <c r="B806" s="34"/>
      <c r="C806" s="35"/>
      <c r="D806" s="35"/>
    </row>
    <row r="807" spans="1:4" ht="15.75" customHeight="1" x14ac:dyDescent="0.15">
      <c r="A807" s="33"/>
      <c r="B807" s="34"/>
      <c r="C807" s="35"/>
      <c r="D807" s="35"/>
    </row>
    <row r="808" spans="1:4" ht="15.75" customHeight="1" x14ac:dyDescent="0.15">
      <c r="A808" s="33"/>
      <c r="B808" s="34"/>
      <c r="C808" s="35"/>
      <c r="D808" s="35"/>
    </row>
    <row r="809" spans="1:4" ht="15.75" customHeight="1" x14ac:dyDescent="0.15">
      <c r="A809" s="33"/>
      <c r="B809" s="34"/>
      <c r="C809" s="35"/>
      <c r="D809" s="35"/>
    </row>
    <row r="810" spans="1:4" ht="15.75" customHeight="1" x14ac:dyDescent="0.15">
      <c r="A810" s="33"/>
      <c r="B810" s="34"/>
      <c r="C810" s="35"/>
      <c r="D810" s="35"/>
    </row>
    <row r="811" spans="1:4" ht="15.75" customHeight="1" x14ac:dyDescent="0.15">
      <c r="A811" s="33"/>
      <c r="B811" s="34"/>
      <c r="C811" s="35"/>
      <c r="D811" s="35"/>
    </row>
    <row r="812" spans="1:4" ht="15.75" customHeight="1" x14ac:dyDescent="0.15">
      <c r="A812" s="33"/>
      <c r="B812" s="34"/>
      <c r="C812" s="35"/>
      <c r="D812" s="35"/>
    </row>
    <row r="813" spans="1:4" ht="15.75" customHeight="1" x14ac:dyDescent="0.15">
      <c r="A813" s="33"/>
      <c r="B813" s="34"/>
      <c r="C813" s="35"/>
      <c r="D813" s="35"/>
    </row>
    <row r="814" spans="1:4" ht="15.75" customHeight="1" x14ac:dyDescent="0.15">
      <c r="A814" s="33"/>
      <c r="B814" s="34"/>
      <c r="C814" s="35"/>
      <c r="D814" s="35"/>
    </row>
    <row r="815" spans="1:4" ht="15.75" customHeight="1" x14ac:dyDescent="0.15">
      <c r="A815" s="33"/>
      <c r="B815" s="34"/>
      <c r="C815" s="35"/>
      <c r="D815" s="35"/>
    </row>
    <row r="816" spans="1:4" ht="15.75" customHeight="1" x14ac:dyDescent="0.15">
      <c r="A816" s="33"/>
      <c r="B816" s="34"/>
      <c r="C816" s="35"/>
      <c r="D816" s="35"/>
    </row>
    <row r="817" spans="1:4" ht="15.75" customHeight="1" x14ac:dyDescent="0.15">
      <c r="A817" s="33"/>
      <c r="B817" s="34"/>
      <c r="C817" s="35"/>
      <c r="D817" s="35"/>
    </row>
    <row r="818" spans="1:4" ht="15.75" customHeight="1" x14ac:dyDescent="0.15">
      <c r="A818" s="33"/>
      <c r="B818" s="34"/>
      <c r="C818" s="35"/>
      <c r="D818" s="35"/>
    </row>
    <row r="819" spans="1:4" ht="15.75" customHeight="1" x14ac:dyDescent="0.15">
      <c r="A819" s="33"/>
      <c r="B819" s="34"/>
      <c r="C819" s="35"/>
      <c r="D819" s="35"/>
    </row>
    <row r="820" spans="1:4" ht="15.75" customHeight="1" x14ac:dyDescent="0.15">
      <c r="A820" s="33"/>
      <c r="B820" s="34"/>
      <c r="C820" s="35"/>
      <c r="D820" s="35"/>
    </row>
    <row r="821" spans="1:4" ht="15.75" customHeight="1" x14ac:dyDescent="0.15">
      <c r="A821" s="33"/>
      <c r="B821" s="34"/>
      <c r="C821" s="35"/>
      <c r="D821" s="35"/>
    </row>
    <row r="822" spans="1:4" ht="15.75" customHeight="1" x14ac:dyDescent="0.15">
      <c r="A822" s="33"/>
      <c r="B822" s="34"/>
      <c r="C822" s="35"/>
      <c r="D822" s="35"/>
    </row>
    <row r="823" spans="1:4" ht="15.75" customHeight="1" x14ac:dyDescent="0.15">
      <c r="A823" s="33"/>
      <c r="B823" s="34"/>
      <c r="C823" s="35"/>
      <c r="D823" s="35"/>
    </row>
    <row r="824" spans="1:4" ht="15.75" customHeight="1" x14ac:dyDescent="0.15">
      <c r="A824" s="33"/>
      <c r="B824" s="34"/>
      <c r="C824" s="35"/>
      <c r="D824" s="35"/>
    </row>
    <row r="825" spans="1:4" ht="15.75" customHeight="1" x14ac:dyDescent="0.15">
      <c r="A825" s="33"/>
      <c r="B825" s="34"/>
      <c r="C825" s="35"/>
      <c r="D825" s="35"/>
    </row>
    <row r="826" spans="1:4" ht="15.75" customHeight="1" x14ac:dyDescent="0.15">
      <c r="A826" s="33"/>
      <c r="B826" s="34"/>
      <c r="C826" s="35"/>
      <c r="D826" s="35"/>
    </row>
    <row r="827" spans="1:4" ht="15.75" customHeight="1" x14ac:dyDescent="0.15">
      <c r="A827" s="33"/>
      <c r="B827" s="34"/>
      <c r="C827" s="35"/>
      <c r="D827" s="35"/>
    </row>
    <row r="828" spans="1:4" ht="15.75" customHeight="1" x14ac:dyDescent="0.15">
      <c r="A828" s="33"/>
      <c r="B828" s="34"/>
      <c r="C828" s="35"/>
      <c r="D828" s="35"/>
    </row>
    <row r="829" spans="1:4" ht="15.75" customHeight="1" x14ac:dyDescent="0.15">
      <c r="A829" s="33"/>
      <c r="B829" s="34"/>
      <c r="C829" s="35"/>
      <c r="D829" s="35"/>
    </row>
    <row r="830" spans="1:4" ht="15.75" customHeight="1" x14ac:dyDescent="0.15">
      <c r="A830" s="33"/>
      <c r="B830" s="34"/>
      <c r="C830" s="35"/>
      <c r="D830" s="35"/>
    </row>
    <row r="831" spans="1:4" ht="15.75" customHeight="1" x14ac:dyDescent="0.15">
      <c r="A831" s="33"/>
      <c r="B831" s="34"/>
      <c r="C831" s="35"/>
      <c r="D831" s="35"/>
    </row>
    <row r="832" spans="1:4" ht="15.75" customHeight="1" x14ac:dyDescent="0.15">
      <c r="A832" s="33"/>
      <c r="B832" s="34"/>
      <c r="C832" s="35"/>
      <c r="D832" s="35"/>
    </row>
    <row r="833" spans="1:4" ht="15.75" customHeight="1" x14ac:dyDescent="0.15">
      <c r="A833" s="33"/>
      <c r="B833" s="34"/>
      <c r="C833" s="35"/>
      <c r="D833" s="35"/>
    </row>
    <row r="834" spans="1:4" ht="15.75" customHeight="1" x14ac:dyDescent="0.15">
      <c r="A834" s="33"/>
      <c r="B834" s="34"/>
      <c r="C834" s="35"/>
      <c r="D834" s="35"/>
    </row>
    <row r="835" spans="1:4" ht="15.75" customHeight="1" x14ac:dyDescent="0.15">
      <c r="A835" s="33"/>
      <c r="B835" s="34"/>
      <c r="C835" s="35"/>
      <c r="D835" s="35"/>
    </row>
    <row r="836" spans="1:4" ht="15.75" customHeight="1" x14ac:dyDescent="0.15">
      <c r="A836" s="33"/>
      <c r="B836" s="34"/>
      <c r="C836" s="35"/>
      <c r="D836" s="35"/>
    </row>
    <row r="837" spans="1:4" ht="15.75" customHeight="1" x14ac:dyDescent="0.15">
      <c r="A837" s="33"/>
      <c r="B837" s="34"/>
      <c r="C837" s="35"/>
      <c r="D837" s="35"/>
    </row>
    <row r="838" spans="1:4" ht="15.75" customHeight="1" x14ac:dyDescent="0.15">
      <c r="A838" s="33"/>
      <c r="B838" s="34"/>
      <c r="C838" s="35"/>
      <c r="D838" s="35"/>
    </row>
    <row r="839" spans="1:4" ht="15.75" customHeight="1" x14ac:dyDescent="0.15">
      <c r="A839" s="33"/>
      <c r="B839" s="34"/>
      <c r="C839" s="35"/>
      <c r="D839" s="35"/>
    </row>
    <row r="840" spans="1:4" ht="15.75" customHeight="1" x14ac:dyDescent="0.15">
      <c r="A840" s="33"/>
      <c r="B840" s="34"/>
      <c r="C840" s="35"/>
      <c r="D840" s="35"/>
    </row>
    <row r="841" spans="1:4" ht="15.75" customHeight="1" x14ac:dyDescent="0.15">
      <c r="A841" s="33"/>
      <c r="B841" s="34"/>
      <c r="C841" s="35"/>
      <c r="D841" s="35"/>
    </row>
    <row r="842" spans="1:4" ht="15.75" customHeight="1" x14ac:dyDescent="0.15">
      <c r="A842" s="33"/>
      <c r="B842" s="34"/>
      <c r="C842" s="35"/>
      <c r="D842" s="35"/>
    </row>
    <row r="843" spans="1:4" ht="15.75" customHeight="1" x14ac:dyDescent="0.15">
      <c r="A843" s="33"/>
      <c r="B843" s="34"/>
      <c r="C843" s="35"/>
      <c r="D843" s="35"/>
    </row>
    <row r="844" spans="1:4" ht="15.75" customHeight="1" x14ac:dyDescent="0.15">
      <c r="A844" s="33"/>
      <c r="B844" s="34"/>
      <c r="C844" s="35"/>
      <c r="D844" s="35"/>
    </row>
    <row r="845" spans="1:4" ht="15.75" customHeight="1" x14ac:dyDescent="0.15">
      <c r="A845" s="33"/>
      <c r="B845" s="34"/>
      <c r="C845" s="35"/>
      <c r="D845" s="35"/>
    </row>
    <row r="846" spans="1:4" ht="15.75" customHeight="1" x14ac:dyDescent="0.15">
      <c r="A846" s="33"/>
      <c r="B846" s="34"/>
      <c r="C846" s="35"/>
      <c r="D846" s="35"/>
    </row>
    <row r="847" spans="1:4" ht="15.75" customHeight="1" x14ac:dyDescent="0.15">
      <c r="A847" s="33"/>
      <c r="B847" s="34"/>
      <c r="C847" s="35"/>
      <c r="D847" s="35"/>
    </row>
    <row r="848" spans="1:4" ht="15.75" customHeight="1" x14ac:dyDescent="0.15">
      <c r="A848" s="33"/>
      <c r="B848" s="34"/>
      <c r="C848" s="35"/>
      <c r="D848" s="35"/>
    </row>
    <row r="849" spans="1:4" ht="15.75" customHeight="1" x14ac:dyDescent="0.15">
      <c r="A849" s="33"/>
      <c r="B849" s="34"/>
      <c r="C849" s="35"/>
      <c r="D849" s="35"/>
    </row>
    <row r="850" spans="1:4" ht="15.75" customHeight="1" x14ac:dyDescent="0.15">
      <c r="A850" s="33"/>
      <c r="B850" s="34"/>
      <c r="C850" s="35"/>
      <c r="D850" s="35"/>
    </row>
    <row r="851" spans="1:4" ht="15.75" customHeight="1" x14ac:dyDescent="0.15">
      <c r="A851" s="33"/>
      <c r="B851" s="34"/>
      <c r="C851" s="35"/>
      <c r="D851" s="35"/>
    </row>
    <row r="852" spans="1:4" ht="15.75" customHeight="1" x14ac:dyDescent="0.15">
      <c r="A852" s="33"/>
      <c r="B852" s="34"/>
      <c r="C852" s="35"/>
      <c r="D852" s="35"/>
    </row>
    <row r="853" spans="1:4" ht="15.75" customHeight="1" x14ac:dyDescent="0.15">
      <c r="A853" s="33"/>
      <c r="B853" s="34"/>
      <c r="C853" s="35"/>
      <c r="D853" s="35"/>
    </row>
    <row r="854" spans="1:4" ht="15.75" customHeight="1" x14ac:dyDescent="0.15">
      <c r="A854" s="33"/>
      <c r="B854" s="34"/>
      <c r="C854" s="35"/>
      <c r="D854" s="35"/>
    </row>
    <row r="855" spans="1:4" ht="15.75" customHeight="1" x14ac:dyDescent="0.15">
      <c r="A855" s="33"/>
      <c r="B855" s="34"/>
      <c r="C855" s="35"/>
      <c r="D855" s="35"/>
    </row>
    <row r="856" spans="1:4" ht="15.75" customHeight="1" x14ac:dyDescent="0.15">
      <c r="A856" s="33"/>
      <c r="B856" s="34"/>
      <c r="C856" s="35"/>
      <c r="D856" s="35"/>
    </row>
    <row r="857" spans="1:4" ht="15.75" customHeight="1" x14ac:dyDescent="0.15">
      <c r="A857" s="33"/>
      <c r="B857" s="34"/>
      <c r="C857" s="35"/>
      <c r="D857" s="35"/>
    </row>
    <row r="858" spans="1:4" ht="15.75" customHeight="1" x14ac:dyDescent="0.15">
      <c r="A858" s="33"/>
      <c r="B858" s="34"/>
      <c r="C858" s="35"/>
      <c r="D858" s="35"/>
    </row>
    <row r="859" spans="1:4" ht="15.75" customHeight="1" x14ac:dyDescent="0.15">
      <c r="A859" s="33"/>
      <c r="B859" s="34"/>
      <c r="C859" s="35"/>
      <c r="D859" s="35"/>
    </row>
    <row r="860" spans="1:4" ht="15.75" customHeight="1" x14ac:dyDescent="0.15">
      <c r="A860" s="33"/>
      <c r="B860" s="34"/>
      <c r="C860" s="35"/>
      <c r="D860" s="35"/>
    </row>
    <row r="861" spans="1:4" ht="15.75" customHeight="1" x14ac:dyDescent="0.15">
      <c r="A861" s="33"/>
      <c r="B861" s="34"/>
      <c r="C861" s="35"/>
      <c r="D861" s="35"/>
    </row>
    <row r="862" spans="1:4" ht="15.75" customHeight="1" x14ac:dyDescent="0.15">
      <c r="A862" s="33"/>
      <c r="B862" s="34"/>
      <c r="C862" s="35"/>
      <c r="D862" s="35"/>
    </row>
    <row r="863" spans="1:4" ht="15.75" customHeight="1" x14ac:dyDescent="0.15">
      <c r="A863" s="33"/>
      <c r="B863" s="34"/>
      <c r="C863" s="35"/>
      <c r="D863" s="35"/>
    </row>
    <row r="864" spans="1:4" ht="15.75" customHeight="1" x14ac:dyDescent="0.15">
      <c r="A864" s="33"/>
      <c r="B864" s="34"/>
      <c r="C864" s="35"/>
      <c r="D864" s="35"/>
    </row>
    <row r="865" spans="1:4" ht="15.75" customHeight="1" x14ac:dyDescent="0.15">
      <c r="A865" s="33"/>
      <c r="B865" s="34"/>
      <c r="C865" s="35"/>
      <c r="D865" s="35"/>
    </row>
    <row r="866" spans="1:4" ht="15.75" customHeight="1" x14ac:dyDescent="0.15">
      <c r="A866" s="33"/>
      <c r="B866" s="34"/>
      <c r="C866" s="35"/>
      <c r="D866" s="35"/>
    </row>
    <row r="867" spans="1:4" ht="15.75" customHeight="1" x14ac:dyDescent="0.15">
      <c r="A867" s="33"/>
      <c r="B867" s="34"/>
      <c r="C867" s="35"/>
      <c r="D867" s="35"/>
    </row>
    <row r="868" spans="1:4" ht="15.75" customHeight="1" x14ac:dyDescent="0.15">
      <c r="A868" s="33"/>
      <c r="B868" s="34"/>
      <c r="C868" s="35"/>
      <c r="D868" s="35"/>
    </row>
    <row r="869" spans="1:4" ht="15.75" customHeight="1" x14ac:dyDescent="0.15">
      <c r="A869" s="33"/>
      <c r="B869" s="34"/>
      <c r="C869" s="35"/>
      <c r="D869" s="35"/>
    </row>
    <row r="870" spans="1:4" ht="15.75" customHeight="1" x14ac:dyDescent="0.15">
      <c r="A870" s="33"/>
      <c r="B870" s="34"/>
      <c r="C870" s="35"/>
      <c r="D870" s="35"/>
    </row>
    <row r="871" spans="1:4" ht="15.75" customHeight="1" x14ac:dyDescent="0.15">
      <c r="A871" s="33"/>
      <c r="B871" s="34"/>
      <c r="C871" s="35"/>
      <c r="D871" s="35"/>
    </row>
    <row r="872" spans="1:4" ht="15.75" customHeight="1" x14ac:dyDescent="0.15">
      <c r="A872" s="33"/>
      <c r="B872" s="34"/>
      <c r="C872" s="35"/>
      <c r="D872" s="35"/>
    </row>
    <row r="873" spans="1:4" ht="15.75" customHeight="1" x14ac:dyDescent="0.15">
      <c r="A873" s="33"/>
      <c r="B873" s="34"/>
      <c r="C873" s="35"/>
      <c r="D873" s="35"/>
    </row>
    <row r="874" spans="1:4" ht="15.75" customHeight="1" x14ac:dyDescent="0.15">
      <c r="A874" s="33"/>
      <c r="B874" s="34"/>
      <c r="C874" s="35"/>
      <c r="D874" s="35"/>
    </row>
    <row r="875" spans="1:4" ht="15.75" customHeight="1" x14ac:dyDescent="0.15">
      <c r="A875" s="33"/>
      <c r="B875" s="34"/>
      <c r="C875" s="35"/>
      <c r="D875" s="35"/>
    </row>
    <row r="876" spans="1:4" ht="15.75" customHeight="1" x14ac:dyDescent="0.15">
      <c r="A876" s="33"/>
      <c r="B876" s="34"/>
      <c r="C876" s="35"/>
      <c r="D876" s="35"/>
    </row>
    <row r="877" spans="1:4" ht="15.75" customHeight="1" x14ac:dyDescent="0.15">
      <c r="A877" s="33"/>
      <c r="B877" s="34"/>
      <c r="C877" s="35"/>
      <c r="D877" s="35"/>
    </row>
    <row r="878" spans="1:4" ht="15.75" customHeight="1" x14ac:dyDescent="0.15">
      <c r="A878" s="33"/>
      <c r="B878" s="34"/>
      <c r="C878" s="35"/>
      <c r="D878" s="35"/>
    </row>
    <row r="879" spans="1:4" ht="15.75" customHeight="1" x14ac:dyDescent="0.15">
      <c r="A879" s="33"/>
      <c r="B879" s="34"/>
      <c r="C879" s="35"/>
      <c r="D879" s="35"/>
    </row>
    <row r="880" spans="1:4" ht="15.75" customHeight="1" x14ac:dyDescent="0.15">
      <c r="A880" s="33"/>
      <c r="B880" s="34"/>
      <c r="C880" s="35"/>
      <c r="D880" s="35"/>
    </row>
    <row r="881" spans="1:4" ht="15.75" customHeight="1" x14ac:dyDescent="0.15">
      <c r="A881" s="33"/>
      <c r="B881" s="34"/>
      <c r="C881" s="35"/>
      <c r="D881" s="35"/>
    </row>
    <row r="882" spans="1:4" ht="15.75" customHeight="1" x14ac:dyDescent="0.15">
      <c r="A882" s="33"/>
      <c r="B882" s="34"/>
      <c r="C882" s="35"/>
      <c r="D882" s="35"/>
    </row>
    <row r="883" spans="1:4" ht="15.75" customHeight="1" x14ac:dyDescent="0.15">
      <c r="A883" s="33"/>
      <c r="B883" s="34"/>
      <c r="C883" s="35"/>
      <c r="D883" s="35"/>
    </row>
    <row r="884" spans="1:4" ht="15.75" customHeight="1" x14ac:dyDescent="0.15">
      <c r="A884" s="33"/>
      <c r="B884" s="34"/>
      <c r="C884" s="35"/>
      <c r="D884" s="35"/>
    </row>
    <row r="885" spans="1:4" ht="15.75" customHeight="1" x14ac:dyDescent="0.15">
      <c r="A885" s="33"/>
      <c r="B885" s="34"/>
      <c r="C885" s="35"/>
      <c r="D885" s="35"/>
    </row>
    <row r="886" spans="1:4" ht="15.75" customHeight="1" x14ac:dyDescent="0.15">
      <c r="A886" s="33"/>
      <c r="B886" s="34"/>
      <c r="C886" s="35"/>
      <c r="D886" s="35"/>
    </row>
    <row r="887" spans="1:4" ht="15.75" customHeight="1" x14ac:dyDescent="0.15">
      <c r="A887" s="33"/>
      <c r="B887" s="34"/>
      <c r="C887" s="35"/>
      <c r="D887" s="35"/>
    </row>
    <row r="888" spans="1:4" ht="15.75" customHeight="1" x14ac:dyDescent="0.15">
      <c r="A888" s="33"/>
      <c r="B888" s="34"/>
      <c r="C888" s="35"/>
      <c r="D888" s="35"/>
    </row>
    <row r="889" spans="1:4" ht="15.75" customHeight="1" x14ac:dyDescent="0.15">
      <c r="A889" s="33"/>
      <c r="B889" s="34"/>
      <c r="C889" s="35"/>
      <c r="D889" s="35"/>
    </row>
    <row r="890" spans="1:4" ht="15.75" customHeight="1" x14ac:dyDescent="0.15">
      <c r="A890" s="33"/>
      <c r="B890" s="34"/>
      <c r="C890" s="35"/>
      <c r="D890" s="35"/>
    </row>
    <row r="891" spans="1:4" ht="15.75" customHeight="1" x14ac:dyDescent="0.15">
      <c r="A891" s="33"/>
      <c r="B891" s="34"/>
      <c r="C891" s="35"/>
      <c r="D891" s="35"/>
    </row>
    <row r="892" spans="1:4" ht="15.75" customHeight="1" x14ac:dyDescent="0.15">
      <c r="A892" s="33"/>
      <c r="B892" s="34"/>
      <c r="C892" s="35"/>
      <c r="D892" s="35"/>
    </row>
    <row r="893" spans="1:4" ht="15.75" customHeight="1" x14ac:dyDescent="0.15">
      <c r="A893" s="33"/>
      <c r="B893" s="34"/>
      <c r="C893" s="35"/>
      <c r="D893" s="35"/>
    </row>
    <row r="894" spans="1:4" ht="15.75" customHeight="1" x14ac:dyDescent="0.15">
      <c r="A894" s="33"/>
      <c r="B894" s="34"/>
      <c r="C894" s="35"/>
      <c r="D894" s="35"/>
    </row>
    <row r="895" spans="1:4" ht="15.75" customHeight="1" x14ac:dyDescent="0.15">
      <c r="A895" s="33"/>
      <c r="B895" s="34"/>
      <c r="C895" s="35"/>
      <c r="D895" s="35"/>
    </row>
    <row r="896" spans="1:4" ht="15.75" customHeight="1" x14ac:dyDescent="0.15">
      <c r="A896" s="33"/>
      <c r="B896" s="34"/>
      <c r="C896" s="35"/>
      <c r="D896" s="35"/>
    </row>
    <row r="897" spans="1:4" ht="15.75" customHeight="1" x14ac:dyDescent="0.15">
      <c r="A897" s="33"/>
      <c r="B897" s="34"/>
      <c r="C897" s="35"/>
      <c r="D897" s="35"/>
    </row>
    <row r="898" spans="1:4" ht="15.75" customHeight="1" x14ac:dyDescent="0.15">
      <c r="A898" s="33"/>
      <c r="B898" s="34"/>
      <c r="C898" s="35"/>
      <c r="D898" s="35"/>
    </row>
    <row r="899" spans="1:4" ht="15.75" customHeight="1" x14ac:dyDescent="0.15">
      <c r="A899" s="33"/>
      <c r="B899" s="34"/>
      <c r="C899" s="35"/>
      <c r="D899" s="35"/>
    </row>
    <row r="900" spans="1:4" ht="15.75" customHeight="1" x14ac:dyDescent="0.15">
      <c r="A900" s="33"/>
      <c r="B900" s="34"/>
      <c r="C900" s="35"/>
      <c r="D900" s="35"/>
    </row>
    <row r="901" spans="1:4" ht="15.75" customHeight="1" x14ac:dyDescent="0.15">
      <c r="A901" s="33"/>
      <c r="B901" s="34"/>
      <c r="C901" s="35"/>
      <c r="D901" s="35"/>
    </row>
    <row r="902" spans="1:4" ht="15.75" customHeight="1" x14ac:dyDescent="0.15">
      <c r="A902" s="33"/>
      <c r="B902" s="34"/>
      <c r="C902" s="35"/>
      <c r="D902" s="35"/>
    </row>
    <row r="903" spans="1:4" ht="15.75" customHeight="1" x14ac:dyDescent="0.15">
      <c r="A903" s="33"/>
      <c r="B903" s="34"/>
      <c r="C903" s="35"/>
      <c r="D903" s="35"/>
    </row>
    <row r="904" spans="1:4" ht="15.75" customHeight="1" x14ac:dyDescent="0.15">
      <c r="A904" s="33"/>
      <c r="B904" s="34"/>
      <c r="C904" s="35"/>
      <c r="D904" s="35"/>
    </row>
    <row r="905" spans="1:4" ht="15.75" customHeight="1" x14ac:dyDescent="0.15">
      <c r="A905" s="33"/>
      <c r="B905" s="34"/>
      <c r="C905" s="35"/>
      <c r="D905" s="35"/>
    </row>
    <row r="906" spans="1:4" ht="15.75" customHeight="1" x14ac:dyDescent="0.15">
      <c r="A906" s="33"/>
      <c r="B906" s="34"/>
      <c r="C906" s="35"/>
      <c r="D906" s="35"/>
    </row>
    <row r="907" spans="1:4" ht="15.75" customHeight="1" x14ac:dyDescent="0.15">
      <c r="A907" s="33"/>
      <c r="B907" s="34"/>
      <c r="C907" s="35"/>
      <c r="D907" s="35"/>
    </row>
    <row r="908" spans="1:4" ht="15.75" customHeight="1" x14ac:dyDescent="0.15">
      <c r="A908" s="33"/>
      <c r="B908" s="34"/>
      <c r="C908" s="35"/>
      <c r="D908" s="35"/>
    </row>
    <row r="909" spans="1:4" ht="15.75" customHeight="1" x14ac:dyDescent="0.15">
      <c r="A909" s="33"/>
      <c r="B909" s="34"/>
      <c r="C909" s="35"/>
      <c r="D909" s="35"/>
    </row>
    <row r="910" spans="1:4" ht="15.75" customHeight="1" x14ac:dyDescent="0.15">
      <c r="A910" s="33"/>
      <c r="B910" s="34"/>
      <c r="C910" s="35"/>
      <c r="D910" s="35"/>
    </row>
    <row r="911" spans="1:4" ht="15.75" customHeight="1" x14ac:dyDescent="0.15">
      <c r="A911" s="33"/>
      <c r="B911" s="34"/>
      <c r="C911" s="35"/>
      <c r="D911" s="35"/>
    </row>
    <row r="912" spans="1:4" ht="15.75" customHeight="1" x14ac:dyDescent="0.15">
      <c r="A912" s="33"/>
      <c r="B912" s="34"/>
      <c r="C912" s="35"/>
      <c r="D912" s="35"/>
    </row>
    <row r="913" spans="1:4" ht="15.75" customHeight="1" x14ac:dyDescent="0.15">
      <c r="A913" s="33"/>
      <c r="B913" s="34"/>
      <c r="C913" s="35"/>
      <c r="D913" s="35"/>
    </row>
    <row r="914" spans="1:4" ht="15.75" customHeight="1" x14ac:dyDescent="0.15">
      <c r="A914" s="33"/>
      <c r="B914" s="34"/>
      <c r="C914" s="35"/>
      <c r="D914" s="35"/>
    </row>
    <row r="915" spans="1:4" ht="15.75" customHeight="1" x14ac:dyDescent="0.15">
      <c r="A915" s="33"/>
      <c r="B915" s="34"/>
      <c r="C915" s="35"/>
      <c r="D915" s="35"/>
    </row>
    <row r="916" spans="1:4" ht="15.75" customHeight="1" x14ac:dyDescent="0.15">
      <c r="A916" s="33"/>
      <c r="B916" s="34"/>
      <c r="C916" s="35"/>
      <c r="D916" s="35"/>
    </row>
    <row r="917" spans="1:4" ht="15.75" customHeight="1" x14ac:dyDescent="0.15">
      <c r="A917" s="33"/>
      <c r="B917" s="34"/>
      <c r="C917" s="35"/>
      <c r="D917" s="35"/>
    </row>
    <row r="918" spans="1:4" ht="15.75" customHeight="1" x14ac:dyDescent="0.15">
      <c r="A918" s="33"/>
      <c r="B918" s="34"/>
      <c r="C918" s="35"/>
      <c r="D918" s="35"/>
    </row>
    <row r="919" spans="1:4" ht="15.75" customHeight="1" x14ac:dyDescent="0.15">
      <c r="A919" s="33"/>
      <c r="B919" s="34"/>
      <c r="C919" s="35"/>
      <c r="D919" s="35"/>
    </row>
    <row r="920" spans="1:4" ht="15.75" customHeight="1" x14ac:dyDescent="0.15">
      <c r="A920" s="33"/>
      <c r="B920" s="34"/>
      <c r="C920" s="35"/>
      <c r="D920" s="35"/>
    </row>
    <row r="921" spans="1:4" ht="15.75" customHeight="1" x14ac:dyDescent="0.15">
      <c r="A921" s="33"/>
      <c r="B921" s="34"/>
      <c r="C921" s="35"/>
      <c r="D921" s="35"/>
    </row>
    <row r="922" spans="1:4" ht="15.75" customHeight="1" x14ac:dyDescent="0.15">
      <c r="A922" s="33"/>
      <c r="B922" s="34"/>
      <c r="C922" s="35"/>
      <c r="D922" s="35"/>
    </row>
    <row r="923" spans="1:4" ht="15.75" customHeight="1" x14ac:dyDescent="0.15">
      <c r="A923" s="33"/>
      <c r="B923" s="34"/>
      <c r="C923" s="35"/>
      <c r="D923" s="35"/>
    </row>
    <row r="924" spans="1:4" ht="15.75" customHeight="1" x14ac:dyDescent="0.15">
      <c r="A924" s="33"/>
      <c r="B924" s="34"/>
      <c r="C924" s="35"/>
      <c r="D924" s="35"/>
    </row>
    <row r="925" spans="1:4" ht="15.75" customHeight="1" x14ac:dyDescent="0.15">
      <c r="A925" s="33"/>
      <c r="B925" s="34"/>
      <c r="C925" s="35"/>
      <c r="D925" s="35"/>
    </row>
    <row r="926" spans="1:4" ht="15.75" customHeight="1" x14ac:dyDescent="0.15">
      <c r="A926" s="33"/>
      <c r="B926" s="34"/>
      <c r="C926" s="35"/>
      <c r="D926" s="35"/>
    </row>
    <row r="927" spans="1:4" ht="15.75" customHeight="1" x14ac:dyDescent="0.15">
      <c r="A927" s="33"/>
      <c r="B927" s="34"/>
      <c r="C927" s="35"/>
      <c r="D927" s="35"/>
    </row>
    <row r="928" spans="1:4" ht="15.75" customHeight="1" x14ac:dyDescent="0.15">
      <c r="A928" s="33"/>
      <c r="B928" s="34"/>
      <c r="C928" s="35"/>
      <c r="D928" s="35"/>
    </row>
    <row r="929" spans="1:4" ht="15.75" customHeight="1" x14ac:dyDescent="0.15">
      <c r="A929" s="33"/>
      <c r="B929" s="34"/>
      <c r="C929" s="35"/>
      <c r="D929" s="35"/>
    </row>
    <row r="930" spans="1:4" ht="15.75" customHeight="1" x14ac:dyDescent="0.15">
      <c r="A930" s="33"/>
      <c r="B930" s="34"/>
      <c r="C930" s="35"/>
      <c r="D930" s="35"/>
    </row>
    <row r="931" spans="1:4" ht="15.75" customHeight="1" x14ac:dyDescent="0.15">
      <c r="A931" s="33"/>
      <c r="B931" s="34"/>
      <c r="C931" s="35"/>
      <c r="D931" s="35"/>
    </row>
    <row r="932" spans="1:4" ht="15.75" customHeight="1" x14ac:dyDescent="0.15">
      <c r="A932" s="33"/>
      <c r="B932" s="34"/>
      <c r="C932" s="35"/>
      <c r="D932" s="35"/>
    </row>
    <row r="933" spans="1:4" ht="15.75" customHeight="1" x14ac:dyDescent="0.15">
      <c r="A933" s="33"/>
      <c r="B933" s="34"/>
      <c r="C933" s="35"/>
      <c r="D933" s="35"/>
    </row>
    <row r="934" spans="1:4" ht="15.75" customHeight="1" x14ac:dyDescent="0.15">
      <c r="A934" s="33"/>
      <c r="B934" s="34"/>
      <c r="C934" s="35"/>
      <c r="D934" s="35"/>
    </row>
    <row r="935" spans="1:4" ht="15.75" customHeight="1" x14ac:dyDescent="0.15">
      <c r="A935" s="33"/>
      <c r="B935" s="34"/>
      <c r="C935" s="35"/>
      <c r="D935" s="35"/>
    </row>
    <row r="936" spans="1:4" ht="15.75" customHeight="1" x14ac:dyDescent="0.15">
      <c r="A936" s="33"/>
      <c r="B936" s="34"/>
      <c r="C936" s="35"/>
      <c r="D936" s="35"/>
    </row>
    <row r="937" spans="1:4" ht="15.75" customHeight="1" x14ac:dyDescent="0.15">
      <c r="A937" s="33"/>
      <c r="B937" s="34"/>
      <c r="C937" s="35"/>
      <c r="D937" s="35"/>
    </row>
    <row r="938" spans="1:4" ht="15.75" customHeight="1" x14ac:dyDescent="0.15">
      <c r="A938" s="33"/>
      <c r="B938" s="34"/>
      <c r="C938" s="35"/>
      <c r="D938" s="35"/>
    </row>
    <row r="939" spans="1:4" ht="15.75" customHeight="1" x14ac:dyDescent="0.15">
      <c r="A939" s="33"/>
      <c r="B939" s="34"/>
      <c r="C939" s="35"/>
      <c r="D939" s="35"/>
    </row>
    <row r="940" spans="1:4" ht="15.75" customHeight="1" x14ac:dyDescent="0.15">
      <c r="A940" s="33"/>
      <c r="B940" s="34"/>
      <c r="C940" s="35"/>
      <c r="D940" s="35"/>
    </row>
    <row r="941" spans="1:4" ht="15.75" customHeight="1" x14ac:dyDescent="0.15">
      <c r="A941" s="33"/>
      <c r="B941" s="34"/>
      <c r="C941" s="35"/>
      <c r="D941" s="35"/>
    </row>
    <row r="942" spans="1:4" ht="15.75" customHeight="1" x14ac:dyDescent="0.15">
      <c r="A942" s="33"/>
      <c r="B942" s="34"/>
      <c r="C942" s="35"/>
      <c r="D942" s="35"/>
    </row>
    <row r="943" spans="1:4" ht="15.75" customHeight="1" x14ac:dyDescent="0.15">
      <c r="A943" s="33"/>
      <c r="B943" s="34"/>
      <c r="C943" s="35"/>
      <c r="D943" s="35"/>
    </row>
    <row r="944" spans="1:4" ht="15.75" customHeight="1" x14ac:dyDescent="0.15">
      <c r="A944" s="33"/>
      <c r="B944" s="34"/>
      <c r="C944" s="35"/>
      <c r="D944" s="35"/>
    </row>
    <row r="945" spans="1:4" ht="15.75" customHeight="1" x14ac:dyDescent="0.15">
      <c r="A945" s="33"/>
      <c r="B945" s="34"/>
      <c r="C945" s="35"/>
      <c r="D945" s="35"/>
    </row>
    <row r="946" spans="1:4" ht="15.75" customHeight="1" x14ac:dyDescent="0.15">
      <c r="A946" s="33"/>
      <c r="B946" s="34"/>
      <c r="C946" s="35"/>
      <c r="D946" s="35"/>
    </row>
    <row r="947" spans="1:4" ht="15.75" customHeight="1" x14ac:dyDescent="0.15">
      <c r="A947" s="33"/>
      <c r="B947" s="34"/>
      <c r="C947" s="35"/>
      <c r="D947" s="35"/>
    </row>
    <row r="948" spans="1:4" ht="15.75" customHeight="1" x14ac:dyDescent="0.15">
      <c r="A948" s="33"/>
      <c r="B948" s="34"/>
      <c r="C948" s="35"/>
      <c r="D948" s="35"/>
    </row>
    <row r="949" spans="1:4" ht="15.75" customHeight="1" x14ac:dyDescent="0.15">
      <c r="A949" s="33"/>
      <c r="B949" s="34"/>
      <c r="C949" s="35"/>
      <c r="D949" s="35"/>
    </row>
    <row r="950" spans="1:4" ht="15.75" customHeight="1" x14ac:dyDescent="0.15">
      <c r="A950" s="33"/>
      <c r="B950" s="34"/>
      <c r="C950" s="35"/>
      <c r="D950" s="35"/>
    </row>
    <row r="951" spans="1:4" ht="15.75" customHeight="1" x14ac:dyDescent="0.15">
      <c r="A951" s="33"/>
      <c r="B951" s="34"/>
      <c r="C951" s="35"/>
      <c r="D951" s="35"/>
    </row>
    <row r="952" spans="1:4" ht="15.75" customHeight="1" x14ac:dyDescent="0.15">
      <c r="A952" s="33"/>
      <c r="B952" s="34"/>
      <c r="C952" s="35"/>
      <c r="D952" s="35"/>
    </row>
    <row r="953" spans="1:4" ht="15.75" customHeight="1" x14ac:dyDescent="0.15">
      <c r="A953" s="33"/>
      <c r="B953" s="34"/>
      <c r="C953" s="35"/>
      <c r="D953" s="35"/>
    </row>
    <row r="954" spans="1:4" ht="15.75" customHeight="1" x14ac:dyDescent="0.15">
      <c r="A954" s="33"/>
      <c r="B954" s="34"/>
      <c r="C954" s="35"/>
      <c r="D954" s="35"/>
    </row>
    <row r="955" spans="1:4" ht="15.75" customHeight="1" x14ac:dyDescent="0.15">
      <c r="A955" s="33"/>
      <c r="B955" s="34"/>
      <c r="C955" s="35"/>
      <c r="D955" s="35"/>
    </row>
    <row r="956" spans="1:4" ht="15.75" customHeight="1" x14ac:dyDescent="0.15">
      <c r="A956" s="33"/>
      <c r="B956" s="34"/>
      <c r="C956" s="35"/>
      <c r="D956" s="35"/>
    </row>
    <row r="957" spans="1:4" ht="15.75" customHeight="1" x14ac:dyDescent="0.15">
      <c r="A957" s="33"/>
      <c r="B957" s="34"/>
      <c r="C957" s="35"/>
      <c r="D957" s="35"/>
    </row>
    <row r="958" spans="1:4" ht="15.75" customHeight="1" x14ac:dyDescent="0.15">
      <c r="A958" s="33"/>
      <c r="B958" s="34"/>
      <c r="C958" s="35"/>
      <c r="D958" s="35"/>
    </row>
    <row r="959" spans="1:4" ht="15.75" customHeight="1" x14ac:dyDescent="0.15">
      <c r="A959" s="33"/>
      <c r="B959" s="34"/>
      <c r="C959" s="35"/>
      <c r="D959" s="35"/>
    </row>
    <row r="960" spans="1:4" ht="15.75" customHeight="1" x14ac:dyDescent="0.15">
      <c r="A960" s="33"/>
      <c r="B960" s="34"/>
      <c r="C960" s="35"/>
      <c r="D960" s="35"/>
    </row>
    <row r="961" spans="1:4" ht="15.75" customHeight="1" x14ac:dyDescent="0.15">
      <c r="A961" s="33"/>
      <c r="B961" s="34"/>
      <c r="C961" s="35"/>
      <c r="D961" s="35"/>
    </row>
    <row r="962" spans="1:4" ht="15.75" customHeight="1" x14ac:dyDescent="0.15">
      <c r="A962" s="33"/>
      <c r="B962" s="34"/>
      <c r="C962" s="35"/>
      <c r="D962" s="35"/>
    </row>
    <row r="963" spans="1:4" ht="15.75" customHeight="1" x14ac:dyDescent="0.15">
      <c r="A963" s="33"/>
      <c r="B963" s="34"/>
      <c r="C963" s="35"/>
      <c r="D963" s="35"/>
    </row>
    <row r="964" spans="1:4" ht="15.75" customHeight="1" x14ac:dyDescent="0.15">
      <c r="A964" s="33"/>
      <c r="B964" s="34"/>
      <c r="C964" s="35"/>
      <c r="D964" s="35"/>
    </row>
    <row r="965" spans="1:4" ht="15.75" customHeight="1" x14ac:dyDescent="0.15">
      <c r="A965" s="33"/>
      <c r="B965" s="34"/>
      <c r="C965" s="35"/>
      <c r="D965" s="35"/>
    </row>
    <row r="966" spans="1:4" ht="15.75" customHeight="1" x14ac:dyDescent="0.15">
      <c r="A966" s="33"/>
      <c r="B966" s="34"/>
      <c r="C966" s="35"/>
      <c r="D966" s="35"/>
    </row>
    <row r="967" spans="1:4" ht="15.75" customHeight="1" x14ac:dyDescent="0.15">
      <c r="A967" s="33"/>
      <c r="B967" s="34"/>
      <c r="C967" s="35"/>
      <c r="D967" s="35"/>
    </row>
    <row r="968" spans="1:4" ht="15.75" customHeight="1" x14ac:dyDescent="0.15">
      <c r="A968" s="33"/>
      <c r="B968" s="34"/>
      <c r="C968" s="35"/>
      <c r="D968" s="35"/>
    </row>
    <row r="969" spans="1:4" ht="15.75" customHeight="1" x14ac:dyDescent="0.15">
      <c r="A969" s="33"/>
      <c r="B969" s="34"/>
      <c r="C969" s="35"/>
      <c r="D969" s="35"/>
    </row>
    <row r="970" spans="1:4" ht="15.75" customHeight="1" x14ac:dyDescent="0.15">
      <c r="A970" s="33"/>
      <c r="B970" s="34"/>
      <c r="C970" s="35"/>
      <c r="D970" s="35"/>
    </row>
    <row r="971" spans="1:4" ht="15.75" customHeight="1" x14ac:dyDescent="0.15">
      <c r="A971" s="33"/>
      <c r="B971" s="34"/>
      <c r="C971" s="35"/>
      <c r="D971" s="35"/>
    </row>
    <row r="972" spans="1:4" ht="15.75" customHeight="1" x14ac:dyDescent="0.15">
      <c r="A972" s="33"/>
      <c r="B972" s="34"/>
      <c r="C972" s="35"/>
      <c r="D972" s="35"/>
    </row>
    <row r="973" spans="1:4" ht="15.75" customHeight="1" x14ac:dyDescent="0.15">
      <c r="A973" s="33"/>
      <c r="B973" s="34"/>
      <c r="C973" s="35"/>
      <c r="D973" s="35"/>
    </row>
    <row r="974" spans="1:4" ht="15.75" customHeight="1" x14ac:dyDescent="0.15">
      <c r="A974" s="33"/>
      <c r="B974" s="34"/>
      <c r="C974" s="35"/>
      <c r="D974" s="35"/>
    </row>
    <row r="975" spans="1:4" ht="15.75" customHeight="1" x14ac:dyDescent="0.15">
      <c r="A975" s="33"/>
      <c r="B975" s="34"/>
      <c r="C975" s="35"/>
      <c r="D975" s="35"/>
    </row>
    <row r="976" spans="1:4" ht="15.75" customHeight="1" x14ac:dyDescent="0.15">
      <c r="A976" s="33"/>
      <c r="B976" s="34"/>
      <c r="C976" s="35"/>
      <c r="D976" s="35"/>
    </row>
    <row r="977" spans="1:4" ht="15.75" customHeight="1" x14ac:dyDescent="0.15">
      <c r="A977" s="33"/>
      <c r="B977" s="34"/>
      <c r="C977" s="35"/>
      <c r="D977" s="35"/>
    </row>
    <row r="978" spans="1:4" ht="15.75" customHeight="1" x14ac:dyDescent="0.15">
      <c r="A978" s="33"/>
      <c r="B978" s="34"/>
      <c r="C978" s="35"/>
      <c r="D978" s="35"/>
    </row>
    <row r="979" spans="1:4" ht="15.75" customHeight="1" x14ac:dyDescent="0.15">
      <c r="A979" s="33"/>
      <c r="B979" s="34"/>
      <c r="C979" s="35"/>
      <c r="D979" s="35"/>
    </row>
    <row r="980" spans="1:4" ht="15.75" customHeight="1" x14ac:dyDescent="0.15">
      <c r="A980" s="33"/>
      <c r="B980" s="34"/>
      <c r="C980" s="35"/>
      <c r="D980" s="35"/>
    </row>
    <row r="981" spans="1:4" ht="15.75" customHeight="1" x14ac:dyDescent="0.15">
      <c r="A981" s="33"/>
      <c r="B981" s="34"/>
      <c r="C981" s="35"/>
      <c r="D981" s="35"/>
    </row>
    <row r="982" spans="1:4" ht="15.75" customHeight="1" x14ac:dyDescent="0.15">
      <c r="A982" s="33"/>
      <c r="B982" s="34"/>
      <c r="C982" s="35"/>
      <c r="D982" s="35"/>
    </row>
    <row r="983" spans="1:4" ht="15.75" customHeight="1" x14ac:dyDescent="0.15">
      <c r="A983" s="33"/>
      <c r="B983" s="34"/>
      <c r="C983" s="35"/>
      <c r="D983" s="35"/>
    </row>
    <row r="984" spans="1:4" ht="15.75" customHeight="1" x14ac:dyDescent="0.15">
      <c r="A984" s="33"/>
      <c r="B984" s="34"/>
      <c r="C984" s="35"/>
      <c r="D984" s="35"/>
    </row>
    <row r="985" spans="1:4" ht="15.75" customHeight="1" x14ac:dyDescent="0.15">
      <c r="A985" s="33"/>
      <c r="B985" s="34"/>
      <c r="C985" s="35"/>
      <c r="D985" s="35"/>
    </row>
    <row r="986" spans="1:4" ht="15.75" customHeight="1" x14ac:dyDescent="0.15">
      <c r="A986" s="33"/>
      <c r="B986" s="34"/>
      <c r="C986" s="35"/>
      <c r="D986" s="35"/>
    </row>
    <row r="987" spans="1:4" ht="15.75" customHeight="1" x14ac:dyDescent="0.15">
      <c r="A987" s="33"/>
      <c r="B987" s="34"/>
      <c r="C987" s="35"/>
      <c r="D987" s="35"/>
    </row>
    <row r="988" spans="1:4" ht="15.75" customHeight="1" x14ac:dyDescent="0.15">
      <c r="A988" s="33"/>
      <c r="B988" s="34"/>
      <c r="C988" s="35"/>
      <c r="D988" s="35"/>
    </row>
    <row r="989" spans="1:4" ht="15.75" customHeight="1" x14ac:dyDescent="0.15">
      <c r="A989" s="33"/>
      <c r="B989" s="34"/>
      <c r="C989" s="35"/>
      <c r="D989" s="35"/>
    </row>
    <row r="990" spans="1:4" ht="15.75" customHeight="1" x14ac:dyDescent="0.15">
      <c r="A990" s="33"/>
      <c r="B990" s="34"/>
      <c r="C990" s="35"/>
      <c r="D990" s="35"/>
    </row>
    <row r="991" spans="1:4" ht="15.75" customHeight="1" x14ac:dyDescent="0.15">
      <c r="A991" s="33"/>
      <c r="B991" s="34"/>
      <c r="C991" s="35"/>
      <c r="D991" s="35"/>
    </row>
    <row r="992" spans="1:4" ht="15.75" customHeight="1" x14ac:dyDescent="0.15">
      <c r="A992" s="33"/>
      <c r="B992" s="34"/>
      <c r="C992" s="35"/>
      <c r="D992" s="35"/>
    </row>
    <row r="993" spans="1:4" ht="15.75" customHeight="1" x14ac:dyDescent="0.15">
      <c r="A993" s="33"/>
      <c r="B993" s="34"/>
      <c r="C993" s="35"/>
      <c r="D993" s="35"/>
    </row>
    <row r="994" spans="1:4" ht="15.75" customHeight="1" x14ac:dyDescent="0.15">
      <c r="A994" s="33"/>
      <c r="B994" s="34"/>
      <c r="C994" s="35"/>
      <c r="D994" s="35"/>
    </row>
    <row r="995" spans="1:4" ht="15.75" customHeight="1" x14ac:dyDescent="0.15">
      <c r="A995" s="33"/>
      <c r="B995" s="34"/>
      <c r="C995" s="35"/>
      <c r="D995" s="35"/>
    </row>
    <row r="996" spans="1:4" ht="15.75" customHeight="1" x14ac:dyDescent="0.15">
      <c r="A996" s="33"/>
      <c r="B996" s="34"/>
      <c r="C996" s="35"/>
      <c r="D996" s="35"/>
    </row>
    <row r="997" spans="1:4" ht="15.75" customHeight="1" x14ac:dyDescent="0.15">
      <c r="A997" s="33"/>
      <c r="B997" s="34"/>
      <c r="C997" s="35"/>
      <c r="D997" s="35"/>
    </row>
    <row r="998" spans="1:4" ht="15.75" customHeight="1" x14ac:dyDescent="0.15">
      <c r="A998" s="33"/>
      <c r="B998" s="34"/>
      <c r="C998" s="35"/>
      <c r="D998" s="35"/>
    </row>
    <row r="999" spans="1:4" ht="15.75" customHeight="1" x14ac:dyDescent="0.15">
      <c r="A999" s="33"/>
      <c r="B999" s="34"/>
      <c r="C999" s="35"/>
      <c r="D999" s="35"/>
    </row>
    <row r="1000" spans="1:4" ht="15.75" customHeight="1" x14ac:dyDescent="0.15">
      <c r="A1000" s="33"/>
      <c r="B1000" s="34"/>
      <c r="C1000" s="35"/>
      <c r="D1000" s="35"/>
    </row>
    <row r="1001" spans="1:4" ht="15.75" customHeight="1" x14ac:dyDescent="0.15">
      <c r="A1001" s="33"/>
      <c r="B1001" s="34"/>
      <c r="C1001" s="35"/>
      <c r="D1001" s="35"/>
    </row>
  </sheetData>
  <mergeCells count="28">
    <mergeCell ref="H101:I101"/>
    <mergeCell ref="H88:I88"/>
    <mergeCell ref="H89:I89"/>
    <mergeCell ref="H90:I90"/>
    <mergeCell ref="H91:I91"/>
    <mergeCell ref="H92:I92"/>
    <mergeCell ref="H93:I93"/>
    <mergeCell ref="H94:I94"/>
    <mergeCell ref="H96:I96"/>
    <mergeCell ref="H97:I97"/>
    <mergeCell ref="H98:I98"/>
    <mergeCell ref="H99:I99"/>
    <mergeCell ref="H100:I100"/>
    <mergeCell ref="H84:I84"/>
    <mergeCell ref="H85:I85"/>
    <mergeCell ref="H86:I86"/>
    <mergeCell ref="H87:I87"/>
    <mergeCell ref="H95:I95"/>
    <mergeCell ref="H80:I80"/>
    <mergeCell ref="H81:I81"/>
    <mergeCell ref="H82:I82"/>
    <mergeCell ref="H83:I83"/>
    <mergeCell ref="J83:K83"/>
    <mergeCell ref="H75:I75"/>
    <mergeCell ref="H76:I76"/>
    <mergeCell ref="H77:I77"/>
    <mergeCell ref="H78:I78"/>
    <mergeCell ref="H79:I79"/>
  </mergeCell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Metadata!$A$2:$A$21</xm:f>
          </x14:formula1>
          <xm:sqref>A2:A1001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61"/>
  <sheetViews>
    <sheetView workbookViewId="0"/>
  </sheetViews>
  <sheetFormatPr baseColWidth="10" defaultColWidth="12.6640625" defaultRowHeight="15.75" customHeight="1" x14ac:dyDescent="0.15"/>
  <sheetData>
    <row r="1" spans="1:27" x14ac:dyDescent="0.2">
      <c r="A1" s="67" t="s">
        <v>0</v>
      </c>
      <c r="B1" s="68"/>
      <c r="C1" s="36" t="s">
        <v>1</v>
      </c>
      <c r="D1" s="36" t="s">
        <v>63</v>
      </c>
      <c r="E1" s="36"/>
      <c r="F1" s="36" t="s">
        <v>4</v>
      </c>
      <c r="H1" s="36" t="s">
        <v>5</v>
      </c>
      <c r="I1" s="37" t="s">
        <v>6</v>
      </c>
      <c r="J1" s="36" t="s">
        <v>7</v>
      </c>
      <c r="K1" s="36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 spans="1:27" x14ac:dyDescent="0.2">
      <c r="A2" s="65" t="s">
        <v>45</v>
      </c>
      <c r="B2" s="64"/>
      <c r="C2" s="38">
        <v>46063</v>
      </c>
      <c r="D2" s="12">
        <v>3.9390000000000001</v>
      </c>
      <c r="E2" s="12">
        <v>52.53</v>
      </c>
      <c r="F2" s="65">
        <v>21</v>
      </c>
      <c r="G2" s="64"/>
      <c r="H2" s="12">
        <v>12.773999999999999</v>
      </c>
      <c r="I2" s="12">
        <v>12.39</v>
      </c>
      <c r="J2" s="27" t="s">
        <v>46</v>
      </c>
      <c r="K2" s="28"/>
      <c r="L2" s="28"/>
    </row>
    <row r="3" spans="1:27" x14ac:dyDescent="0.2">
      <c r="A3" s="65" t="s">
        <v>45</v>
      </c>
      <c r="B3" s="64"/>
      <c r="C3" s="38">
        <v>46072</v>
      </c>
      <c r="D3" s="12">
        <v>6.2960000000000003</v>
      </c>
      <c r="E3" s="12">
        <v>77.061999999999998</v>
      </c>
      <c r="F3" s="65">
        <v>18</v>
      </c>
      <c r="G3" s="64"/>
      <c r="H3" s="12">
        <v>12.996</v>
      </c>
      <c r="I3" s="12">
        <v>12.679</v>
      </c>
      <c r="J3" s="16" t="s">
        <v>21</v>
      </c>
      <c r="K3" s="17"/>
    </row>
    <row r="4" spans="1:27" x14ac:dyDescent="0.2">
      <c r="A4" s="65" t="s">
        <v>45</v>
      </c>
      <c r="B4" s="64"/>
      <c r="C4" s="38">
        <v>46080</v>
      </c>
      <c r="D4" s="12">
        <v>7.375</v>
      </c>
      <c r="E4" s="12">
        <v>90.683999999999997</v>
      </c>
      <c r="F4" s="65">
        <v>18</v>
      </c>
      <c r="G4" s="64"/>
      <c r="H4" s="12">
        <v>12.991</v>
      </c>
      <c r="I4" s="12">
        <v>12.669</v>
      </c>
      <c r="J4" s="16" t="s">
        <v>21</v>
      </c>
      <c r="K4" s="17"/>
    </row>
    <row r="5" spans="1:27" x14ac:dyDescent="0.2">
      <c r="A5" s="69" t="s">
        <v>11</v>
      </c>
      <c r="B5" s="64"/>
      <c r="C5" s="39">
        <v>46006</v>
      </c>
      <c r="D5" s="18">
        <v>5.97</v>
      </c>
      <c r="E5" s="18">
        <v>99.873000000000005</v>
      </c>
      <c r="F5" s="66">
        <v>16</v>
      </c>
      <c r="G5" s="64"/>
      <c r="H5" s="18">
        <v>13.039</v>
      </c>
      <c r="I5" s="18">
        <v>12.738</v>
      </c>
      <c r="J5" s="22" t="s">
        <v>12</v>
      </c>
      <c r="K5" s="23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 spans="1:27" x14ac:dyDescent="0.2">
      <c r="A6" s="65" t="s">
        <v>11</v>
      </c>
      <c r="B6" s="64"/>
      <c r="C6" s="38">
        <v>46011</v>
      </c>
      <c r="D6" s="12">
        <v>7.4119999999999999</v>
      </c>
      <c r="E6" s="12">
        <v>91.063999999999993</v>
      </c>
      <c r="F6" s="65">
        <v>15</v>
      </c>
      <c r="G6" s="64"/>
      <c r="H6" s="12">
        <v>13.391999999999999</v>
      </c>
      <c r="I6" s="12">
        <v>13.11</v>
      </c>
      <c r="J6" s="16" t="s">
        <v>18</v>
      </c>
      <c r="K6" s="17"/>
    </row>
    <row r="7" spans="1:27" x14ac:dyDescent="0.2">
      <c r="A7" s="65" t="s">
        <v>11</v>
      </c>
      <c r="B7" s="64"/>
      <c r="C7" s="38">
        <v>46035</v>
      </c>
      <c r="D7" s="12">
        <v>5.79</v>
      </c>
      <c r="E7" s="12">
        <v>71.093999999999994</v>
      </c>
      <c r="F7" s="65">
        <v>16</v>
      </c>
      <c r="G7" s="64"/>
      <c r="H7" s="12">
        <v>13.516</v>
      </c>
      <c r="I7" s="12">
        <v>13.234</v>
      </c>
      <c r="J7" s="16"/>
      <c r="K7" s="17"/>
    </row>
    <row r="8" spans="1:27" x14ac:dyDescent="0.2">
      <c r="A8" s="65" t="s">
        <v>11</v>
      </c>
      <c r="B8" s="64"/>
      <c r="C8" s="38">
        <v>46039</v>
      </c>
      <c r="D8" s="12">
        <v>5.8010000000000002</v>
      </c>
      <c r="E8" s="12">
        <v>71.335999999999999</v>
      </c>
      <c r="F8" s="65">
        <v>19</v>
      </c>
      <c r="G8" s="64"/>
      <c r="H8" s="12">
        <v>13.512</v>
      </c>
      <c r="I8" s="12">
        <v>13.147</v>
      </c>
      <c r="J8" s="16" t="s">
        <v>12</v>
      </c>
      <c r="K8" s="17"/>
    </row>
    <row r="9" spans="1:27" x14ac:dyDescent="0.2">
      <c r="A9" s="65" t="s">
        <v>11</v>
      </c>
      <c r="B9" s="64"/>
      <c r="C9" s="38">
        <v>46042</v>
      </c>
      <c r="D9" s="12">
        <v>5.0830000000000002</v>
      </c>
      <c r="E9" s="12">
        <v>62.619</v>
      </c>
      <c r="F9" s="70" t="s">
        <v>64</v>
      </c>
      <c r="G9" s="64"/>
      <c r="H9" s="12">
        <v>13.090999999999999</v>
      </c>
      <c r="I9" s="12">
        <v>12.707000000000001</v>
      </c>
      <c r="J9" s="16"/>
      <c r="K9" s="17"/>
    </row>
    <row r="10" spans="1:27" x14ac:dyDescent="0.2">
      <c r="A10" s="65" t="s">
        <v>11</v>
      </c>
      <c r="B10" s="64"/>
      <c r="C10" s="38">
        <v>46069</v>
      </c>
      <c r="D10" s="12">
        <v>5.7640000000000002</v>
      </c>
      <c r="E10" s="12">
        <v>69.954999999999998</v>
      </c>
      <c r="F10" s="65">
        <v>15</v>
      </c>
      <c r="G10" s="64"/>
      <c r="H10" s="12">
        <v>13.090999999999999</v>
      </c>
      <c r="I10" s="12">
        <v>12.792999999999999</v>
      </c>
      <c r="J10" s="16" t="s">
        <v>21</v>
      </c>
      <c r="K10" s="17"/>
    </row>
    <row r="11" spans="1:27" x14ac:dyDescent="0.2">
      <c r="A11" s="12" t="s">
        <v>11</v>
      </c>
      <c r="B11" s="12"/>
      <c r="C11" s="38">
        <v>46077</v>
      </c>
      <c r="D11" s="12">
        <v>5.3810000000000002</v>
      </c>
      <c r="E11" s="12">
        <v>65.914000000000001</v>
      </c>
      <c r="F11" s="12"/>
      <c r="G11" s="12">
        <v>17</v>
      </c>
      <c r="H11" s="12">
        <v>13.106999999999999</v>
      </c>
      <c r="I11" s="12">
        <v>12.762</v>
      </c>
      <c r="J11" s="40" t="s">
        <v>62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x14ac:dyDescent="0.2">
      <c r="A12" s="65" t="s">
        <v>8</v>
      </c>
      <c r="B12" s="64"/>
      <c r="C12" s="38">
        <v>45986</v>
      </c>
      <c r="D12" s="12">
        <v>6.7910000000000004</v>
      </c>
      <c r="E12" s="12">
        <v>73.069999999999993</v>
      </c>
      <c r="F12" s="65">
        <v>20</v>
      </c>
      <c r="G12" s="64"/>
      <c r="H12" s="15" t="s">
        <v>64</v>
      </c>
      <c r="I12" s="15" t="s">
        <v>64</v>
      </c>
      <c r="J12" s="16"/>
      <c r="K12" s="17"/>
    </row>
    <row r="13" spans="1:27" x14ac:dyDescent="0.2">
      <c r="A13" s="65" t="s">
        <v>8</v>
      </c>
      <c r="B13" s="64"/>
      <c r="C13" s="38">
        <v>46013</v>
      </c>
      <c r="D13" s="12">
        <v>6.2060000000000004</v>
      </c>
      <c r="E13" s="12">
        <v>76.611999999999995</v>
      </c>
      <c r="F13" s="65">
        <v>18</v>
      </c>
      <c r="G13" s="64"/>
      <c r="H13" s="12">
        <v>13.351000000000001</v>
      </c>
      <c r="I13" s="12">
        <v>13.026</v>
      </c>
      <c r="J13" s="16" t="s">
        <v>19</v>
      </c>
      <c r="K13" s="17"/>
    </row>
    <row r="14" spans="1:27" x14ac:dyDescent="0.2">
      <c r="A14" s="65" t="s">
        <v>8</v>
      </c>
      <c r="B14" s="64"/>
      <c r="C14" s="38">
        <v>46035</v>
      </c>
      <c r="D14" s="12">
        <v>5.9669999999999996</v>
      </c>
      <c r="E14" s="12">
        <v>73.453000000000003</v>
      </c>
      <c r="F14" s="65">
        <v>18</v>
      </c>
      <c r="G14" s="64"/>
      <c r="H14" s="12">
        <v>13.288</v>
      </c>
      <c r="I14" s="12">
        <v>12.904</v>
      </c>
      <c r="J14" s="16" t="s">
        <v>24</v>
      </c>
      <c r="K14" s="17"/>
    </row>
    <row r="15" spans="1:27" x14ac:dyDescent="0.2">
      <c r="A15" s="65" t="s">
        <v>8</v>
      </c>
      <c r="B15" s="64"/>
      <c r="C15" s="38">
        <v>46041</v>
      </c>
      <c r="D15" s="12">
        <v>6.9089999999999998</v>
      </c>
      <c r="E15" s="12">
        <v>85.38</v>
      </c>
      <c r="F15" s="65">
        <v>19</v>
      </c>
      <c r="G15" s="64"/>
      <c r="H15" s="12">
        <v>13.436999999999999</v>
      </c>
      <c r="I15" s="12">
        <v>13.082000000000001</v>
      </c>
      <c r="J15" s="16"/>
      <c r="K15" s="17"/>
    </row>
    <row r="16" spans="1:27" x14ac:dyDescent="0.2">
      <c r="A16" s="65" t="s">
        <v>8</v>
      </c>
      <c r="B16" s="64"/>
      <c r="C16" s="38">
        <v>46045</v>
      </c>
      <c r="D16" s="12">
        <v>6.6130000000000004</v>
      </c>
      <c r="E16" s="12">
        <v>81.938999999999993</v>
      </c>
      <c r="F16" s="65">
        <v>18</v>
      </c>
      <c r="G16" s="64"/>
      <c r="H16" s="12">
        <v>13.313000000000001</v>
      </c>
      <c r="I16" s="12">
        <v>12.972</v>
      </c>
      <c r="J16" s="16" t="s">
        <v>12</v>
      </c>
      <c r="K16" s="17"/>
    </row>
    <row r="17" spans="1:12" x14ac:dyDescent="0.2">
      <c r="A17" s="65" t="s">
        <v>8</v>
      </c>
      <c r="B17" s="64"/>
      <c r="C17" s="38">
        <v>46069</v>
      </c>
      <c r="D17" s="12">
        <v>6.702</v>
      </c>
      <c r="E17" s="12">
        <v>82.814999999999998</v>
      </c>
      <c r="F17" s="65">
        <v>20</v>
      </c>
      <c r="G17" s="64"/>
      <c r="H17" s="12">
        <v>13.151</v>
      </c>
      <c r="I17" s="12">
        <v>12.789</v>
      </c>
      <c r="J17" s="16" t="s">
        <v>21</v>
      </c>
      <c r="K17" s="17"/>
    </row>
    <row r="18" spans="1:12" x14ac:dyDescent="0.2">
      <c r="A18" s="65" t="s">
        <v>8</v>
      </c>
      <c r="B18" s="64"/>
      <c r="C18" s="38">
        <v>46078</v>
      </c>
      <c r="D18" s="12">
        <v>5.7149999999999999</v>
      </c>
      <c r="E18" s="12">
        <v>70.393000000000001</v>
      </c>
      <c r="F18" s="65">
        <v>16</v>
      </c>
      <c r="G18" s="64"/>
      <c r="H18" s="12">
        <v>13.21</v>
      </c>
      <c r="I18" s="12">
        <v>12.901999999999999</v>
      </c>
      <c r="J18" s="63" t="s">
        <v>21</v>
      </c>
      <c r="K18" s="64"/>
    </row>
    <row r="19" spans="1:12" x14ac:dyDescent="0.2">
      <c r="A19" s="65" t="s">
        <v>13</v>
      </c>
      <c r="B19" s="64"/>
      <c r="C19" s="38">
        <v>46008</v>
      </c>
      <c r="D19" s="12">
        <v>6.2880000000000003</v>
      </c>
      <c r="E19" s="12">
        <v>88.134</v>
      </c>
      <c r="F19" s="65">
        <v>19</v>
      </c>
      <c r="G19" s="64"/>
      <c r="H19" s="12">
        <v>12.105</v>
      </c>
      <c r="I19" s="12">
        <v>12.595000000000001</v>
      </c>
      <c r="J19" s="16"/>
      <c r="K19" s="17"/>
    </row>
    <row r="20" spans="1:12" x14ac:dyDescent="0.2">
      <c r="A20" s="65" t="s">
        <v>13</v>
      </c>
      <c r="B20" s="64"/>
      <c r="C20" s="38">
        <v>46025</v>
      </c>
      <c r="D20" s="12">
        <v>5.2350000000000003</v>
      </c>
      <c r="E20" s="12">
        <v>63.912999999999997</v>
      </c>
      <c r="F20" s="65">
        <v>21</v>
      </c>
      <c r="G20" s="64"/>
      <c r="H20" s="12">
        <v>13.018000000000001</v>
      </c>
      <c r="I20" s="12">
        <v>12.651999999999999</v>
      </c>
      <c r="J20" s="16" t="s">
        <v>12</v>
      </c>
      <c r="K20" s="17"/>
    </row>
    <row r="21" spans="1:12" x14ac:dyDescent="0.2">
      <c r="A21" s="65" t="s">
        <v>13</v>
      </c>
      <c r="B21" s="64"/>
      <c r="C21" s="38">
        <v>46036</v>
      </c>
      <c r="D21" s="12">
        <v>7.5739999999999998</v>
      </c>
      <c r="E21" s="12">
        <v>101</v>
      </c>
      <c r="F21" s="65">
        <v>18</v>
      </c>
      <c r="G21" s="64"/>
      <c r="H21" s="12">
        <v>13.192</v>
      </c>
      <c r="I21" s="12">
        <v>12.855</v>
      </c>
      <c r="J21" s="16" t="s">
        <v>25</v>
      </c>
      <c r="K21" s="17"/>
    </row>
    <row r="22" spans="1:12" x14ac:dyDescent="0.2">
      <c r="A22" s="65" t="s">
        <v>13</v>
      </c>
      <c r="B22" s="64"/>
      <c r="C22" s="38">
        <v>46041</v>
      </c>
      <c r="D22" s="12">
        <v>7.18</v>
      </c>
      <c r="E22" s="12">
        <v>88.206000000000003</v>
      </c>
      <c r="F22" s="65">
        <v>19</v>
      </c>
      <c r="G22" s="64"/>
      <c r="H22" s="12">
        <v>13.346</v>
      </c>
      <c r="I22" s="12">
        <v>12.981999999999999</v>
      </c>
      <c r="J22" s="16"/>
      <c r="K22" s="17"/>
    </row>
    <row r="23" spans="1:12" x14ac:dyDescent="0.2">
      <c r="A23" s="65" t="s">
        <v>13</v>
      </c>
      <c r="B23" s="64"/>
      <c r="C23" s="38">
        <v>46046</v>
      </c>
      <c r="D23" s="12">
        <v>5.976</v>
      </c>
      <c r="E23" s="12">
        <v>73.655000000000001</v>
      </c>
      <c r="F23" s="65">
        <v>19</v>
      </c>
      <c r="G23" s="64"/>
      <c r="H23" s="12">
        <v>13.118</v>
      </c>
      <c r="I23" s="12">
        <v>12.757</v>
      </c>
      <c r="J23" s="16" t="s">
        <v>30</v>
      </c>
      <c r="K23" s="17"/>
      <c r="L23" s="17"/>
    </row>
    <row r="24" spans="1:12" x14ac:dyDescent="0.2">
      <c r="A24" s="65" t="s">
        <v>13</v>
      </c>
      <c r="B24" s="64"/>
      <c r="C24" s="38">
        <v>46070</v>
      </c>
      <c r="D24" s="12">
        <v>5.4349999999999996</v>
      </c>
      <c r="E24" s="12">
        <v>67.097999999999999</v>
      </c>
      <c r="F24" s="65">
        <v>20</v>
      </c>
      <c r="G24" s="64"/>
      <c r="H24" s="12">
        <v>13.234999999999999</v>
      </c>
      <c r="I24" s="12">
        <v>12.875999999999999</v>
      </c>
      <c r="J24" s="16" t="s">
        <v>12</v>
      </c>
      <c r="K24" s="17"/>
    </row>
    <row r="25" spans="1:12" x14ac:dyDescent="0.2">
      <c r="A25" s="65" t="s">
        <v>13</v>
      </c>
      <c r="B25" s="64"/>
      <c r="C25" s="38">
        <v>46078</v>
      </c>
      <c r="D25" s="12">
        <v>6.3150000000000004</v>
      </c>
      <c r="E25" s="12">
        <v>77.8</v>
      </c>
      <c r="F25" s="65">
        <v>18</v>
      </c>
      <c r="G25" s="64"/>
      <c r="H25" s="12">
        <v>13.154999999999999</v>
      </c>
      <c r="I25" s="12">
        <v>12.839</v>
      </c>
      <c r="J25" s="63" t="s">
        <v>22</v>
      </c>
      <c r="K25" s="64"/>
    </row>
    <row r="26" spans="1:12" x14ac:dyDescent="0.2">
      <c r="A26" s="65" t="s">
        <v>10</v>
      </c>
      <c r="B26" s="64"/>
      <c r="C26" s="38">
        <v>46078</v>
      </c>
      <c r="D26" s="12">
        <v>7.0750000000000002</v>
      </c>
      <c r="E26" s="12">
        <v>87.36</v>
      </c>
      <c r="F26" s="65">
        <v>16</v>
      </c>
      <c r="G26" s="64"/>
      <c r="H26" s="12">
        <v>13.198</v>
      </c>
      <c r="I26" s="12">
        <v>12.097</v>
      </c>
      <c r="J26" s="63" t="s">
        <v>21</v>
      </c>
      <c r="K26" s="64"/>
    </row>
    <row r="27" spans="1:12" x14ac:dyDescent="0.2">
      <c r="A27" s="65" t="s">
        <v>10</v>
      </c>
      <c r="B27" s="64"/>
      <c r="C27" s="38">
        <v>45995</v>
      </c>
      <c r="D27" s="12">
        <v>8.1199999999999992</v>
      </c>
      <c r="E27" s="12">
        <v>76.64</v>
      </c>
      <c r="F27" s="65">
        <v>20</v>
      </c>
      <c r="G27" s="64"/>
      <c r="H27" s="12">
        <v>13.488</v>
      </c>
      <c r="I27" s="12">
        <v>13.116</v>
      </c>
      <c r="J27" s="16"/>
      <c r="K27" s="17"/>
    </row>
    <row r="28" spans="1:12" x14ac:dyDescent="0.2">
      <c r="A28" s="65" t="s">
        <v>10</v>
      </c>
      <c r="B28" s="64"/>
      <c r="C28" s="38">
        <v>46025</v>
      </c>
      <c r="D28" s="12">
        <v>8.1050000000000004</v>
      </c>
      <c r="E28" s="12">
        <v>100.09</v>
      </c>
      <c r="F28" s="65">
        <v>21</v>
      </c>
      <c r="G28" s="64"/>
      <c r="H28" s="12">
        <v>13.204000000000001</v>
      </c>
      <c r="I28" s="12">
        <v>12.868</v>
      </c>
      <c r="J28" s="16" t="s">
        <v>20</v>
      </c>
      <c r="K28" s="17"/>
    </row>
    <row r="29" spans="1:12" x14ac:dyDescent="0.2">
      <c r="A29" s="65" t="s">
        <v>10</v>
      </c>
      <c r="B29" s="64"/>
      <c r="C29" s="38">
        <v>46037</v>
      </c>
      <c r="D29" s="12">
        <v>7.6749999999999998</v>
      </c>
      <c r="E29" s="12">
        <v>94.641999999999996</v>
      </c>
      <c r="F29" s="65">
        <v>16</v>
      </c>
      <c r="G29" s="64"/>
      <c r="H29" s="12">
        <v>13.314</v>
      </c>
      <c r="I29" s="12">
        <v>13.016</v>
      </c>
      <c r="J29" s="16" t="s">
        <v>26</v>
      </c>
      <c r="K29" s="17"/>
    </row>
    <row r="30" spans="1:12" x14ac:dyDescent="0.2">
      <c r="A30" s="65" t="s">
        <v>10</v>
      </c>
      <c r="B30" s="64"/>
      <c r="C30" s="38">
        <v>46041</v>
      </c>
      <c r="D30" s="12">
        <v>7.101</v>
      </c>
      <c r="E30" s="12">
        <v>87.790999999999997</v>
      </c>
      <c r="F30" s="65">
        <v>17</v>
      </c>
      <c r="G30" s="64"/>
      <c r="H30" s="12">
        <v>13.336</v>
      </c>
      <c r="I30" s="12">
        <v>13.010999999999999</v>
      </c>
      <c r="J30" s="16"/>
      <c r="K30" s="17"/>
    </row>
    <row r="31" spans="1:12" x14ac:dyDescent="0.2">
      <c r="A31" s="65" t="s">
        <v>10</v>
      </c>
      <c r="B31" s="64"/>
      <c r="C31" s="38">
        <v>46046</v>
      </c>
      <c r="D31" s="12">
        <v>7.1020000000000003</v>
      </c>
      <c r="E31" s="12">
        <v>87.89</v>
      </c>
      <c r="F31" s="65">
        <v>18</v>
      </c>
      <c r="G31" s="64"/>
      <c r="H31" s="12">
        <v>13.302</v>
      </c>
      <c r="I31" s="12">
        <v>12.993</v>
      </c>
      <c r="J31" s="16" t="s">
        <v>31</v>
      </c>
      <c r="K31" s="17"/>
      <c r="L31" s="17"/>
    </row>
    <row r="32" spans="1:12" x14ac:dyDescent="0.2">
      <c r="A32" s="65" t="s">
        <v>10</v>
      </c>
      <c r="B32" s="64"/>
      <c r="C32" s="38">
        <v>46070</v>
      </c>
      <c r="D32" s="12">
        <v>7.0750000000000002</v>
      </c>
      <c r="E32" s="12">
        <v>87.159000000000006</v>
      </c>
      <c r="F32" s="65">
        <v>19</v>
      </c>
      <c r="G32" s="64"/>
      <c r="H32" s="12">
        <v>13.205</v>
      </c>
      <c r="I32" s="12">
        <v>12.855</v>
      </c>
      <c r="J32" s="16" t="s">
        <v>21</v>
      </c>
      <c r="K32" s="17"/>
    </row>
    <row r="33" spans="1:12" x14ac:dyDescent="0.2">
      <c r="A33" s="65" t="s">
        <v>9</v>
      </c>
      <c r="B33" s="64"/>
      <c r="C33" s="38">
        <v>45993</v>
      </c>
      <c r="D33" s="12">
        <v>7.15</v>
      </c>
      <c r="E33" s="12">
        <v>90.572999999999993</v>
      </c>
      <c r="F33" s="65">
        <v>17</v>
      </c>
      <c r="G33" s="64"/>
      <c r="H33" s="12">
        <v>13.398999999999999</v>
      </c>
      <c r="I33" s="15" t="s">
        <v>64</v>
      </c>
      <c r="J33" s="16"/>
      <c r="K33" s="17"/>
    </row>
    <row r="34" spans="1:12" x14ac:dyDescent="0.2">
      <c r="A34" s="65" t="s">
        <v>9</v>
      </c>
      <c r="B34" s="64"/>
      <c r="C34" s="38">
        <v>46027</v>
      </c>
      <c r="D34" s="12">
        <v>7.6180000000000003</v>
      </c>
      <c r="E34" s="12">
        <v>93.984999999999999</v>
      </c>
      <c r="F34" s="65">
        <v>17</v>
      </c>
      <c r="G34" s="64"/>
      <c r="H34" s="12">
        <v>13.22</v>
      </c>
      <c r="I34" s="12">
        <v>12.897</v>
      </c>
      <c r="J34" s="16" t="s">
        <v>21</v>
      </c>
      <c r="K34" s="17"/>
    </row>
    <row r="35" spans="1:12" x14ac:dyDescent="0.2">
      <c r="A35" s="65" t="s">
        <v>9</v>
      </c>
      <c r="B35" s="64"/>
      <c r="C35" s="38">
        <v>46037</v>
      </c>
      <c r="D35" s="12">
        <v>8.032</v>
      </c>
      <c r="E35" s="12">
        <v>99.231999999999999</v>
      </c>
      <c r="F35" s="65">
        <v>16</v>
      </c>
      <c r="G35" s="64"/>
      <c r="H35" s="12">
        <v>13.42</v>
      </c>
      <c r="I35" s="12">
        <v>13.125999999999999</v>
      </c>
      <c r="J35" s="16" t="s">
        <v>21</v>
      </c>
      <c r="K35" s="17"/>
    </row>
    <row r="36" spans="1:12" x14ac:dyDescent="0.2">
      <c r="A36" s="65" t="s">
        <v>9</v>
      </c>
      <c r="B36" s="64"/>
      <c r="C36" s="38">
        <v>46041</v>
      </c>
      <c r="D36" s="12">
        <v>7.4850000000000003</v>
      </c>
      <c r="E36" s="12">
        <v>92.32</v>
      </c>
      <c r="F36" s="65">
        <v>18</v>
      </c>
      <c r="G36" s="64"/>
      <c r="H36" s="12">
        <v>13.263</v>
      </c>
      <c r="I36" s="12">
        <v>12.952</v>
      </c>
      <c r="J36" s="25" t="s">
        <v>28</v>
      </c>
      <c r="K36" s="26"/>
    </row>
    <row r="37" spans="1:12" x14ac:dyDescent="0.2">
      <c r="A37" s="65" t="s">
        <v>9</v>
      </c>
      <c r="B37" s="64"/>
      <c r="C37" s="38">
        <v>46050</v>
      </c>
      <c r="D37" s="12">
        <v>6.78</v>
      </c>
      <c r="E37" s="12">
        <v>83.741</v>
      </c>
      <c r="F37" s="65">
        <v>18</v>
      </c>
      <c r="G37" s="64"/>
      <c r="H37" s="12">
        <v>13.241</v>
      </c>
      <c r="I37" s="12">
        <v>12.898999999999999</v>
      </c>
      <c r="J37" s="16" t="s">
        <v>32</v>
      </c>
      <c r="K37" s="17"/>
      <c r="L37" s="17"/>
    </row>
    <row r="38" spans="1:12" x14ac:dyDescent="0.2">
      <c r="A38" s="65" t="s">
        <v>9</v>
      </c>
      <c r="B38" s="64"/>
      <c r="C38" s="38">
        <v>46070</v>
      </c>
      <c r="D38" s="12">
        <v>5.6849999999999996</v>
      </c>
      <c r="E38" s="12">
        <v>70.099999999999994</v>
      </c>
      <c r="F38" s="65">
        <v>15</v>
      </c>
      <c r="G38" s="64"/>
      <c r="H38" s="12">
        <v>13.282</v>
      </c>
      <c r="I38" s="12">
        <v>12.996</v>
      </c>
      <c r="J38" s="16" t="s">
        <v>56</v>
      </c>
      <c r="K38" s="17"/>
    </row>
    <row r="39" spans="1:12" x14ac:dyDescent="0.2">
      <c r="A39" s="65" t="s">
        <v>9</v>
      </c>
      <c r="B39" s="64"/>
      <c r="C39" s="38">
        <v>46079</v>
      </c>
      <c r="D39" s="12">
        <v>6.3150000000000004</v>
      </c>
      <c r="E39" s="12">
        <v>77.8</v>
      </c>
      <c r="F39" s="65">
        <v>18</v>
      </c>
      <c r="G39" s="64"/>
      <c r="H39" s="12">
        <v>13.097</v>
      </c>
      <c r="I39" s="12">
        <v>12.776</v>
      </c>
      <c r="J39" s="63" t="s">
        <v>22</v>
      </c>
      <c r="K39" s="64"/>
    </row>
    <row r="40" spans="1:12" x14ac:dyDescent="0.2">
      <c r="A40" s="65" t="s">
        <v>14</v>
      </c>
      <c r="B40" s="64"/>
      <c r="C40" s="38">
        <v>46009</v>
      </c>
      <c r="D40" s="12">
        <v>6.54</v>
      </c>
      <c r="E40" s="12">
        <v>79.847999999999999</v>
      </c>
      <c r="F40" s="65">
        <v>17</v>
      </c>
      <c r="G40" s="64"/>
      <c r="H40" s="12">
        <v>13.273999999999999</v>
      </c>
      <c r="I40" s="12">
        <v>12.923999999999999</v>
      </c>
      <c r="J40" s="16" t="s">
        <v>15</v>
      </c>
      <c r="K40" s="17"/>
    </row>
    <row r="41" spans="1:12" x14ac:dyDescent="0.2">
      <c r="A41" s="65" t="s">
        <v>14</v>
      </c>
      <c r="B41" s="64"/>
      <c r="C41" s="38">
        <v>46028</v>
      </c>
      <c r="D41" s="12">
        <v>5.8789999999999996</v>
      </c>
      <c r="E41" s="12">
        <v>71.346000000000004</v>
      </c>
      <c r="F41" s="65">
        <v>19</v>
      </c>
      <c r="G41" s="64"/>
      <c r="H41" s="12">
        <v>13.989000000000001</v>
      </c>
      <c r="I41" s="12">
        <v>12.609</v>
      </c>
      <c r="J41" s="16" t="s">
        <v>22</v>
      </c>
      <c r="K41" s="17"/>
    </row>
    <row r="42" spans="1:12" x14ac:dyDescent="0.2">
      <c r="A42" s="65" t="s">
        <v>14</v>
      </c>
      <c r="B42" s="64"/>
      <c r="C42" s="38">
        <v>46038</v>
      </c>
      <c r="D42" s="12">
        <v>6.7539999999999996</v>
      </c>
      <c r="E42" s="12">
        <v>83.016000000000005</v>
      </c>
      <c r="F42" s="65">
        <v>15</v>
      </c>
      <c r="G42" s="64"/>
      <c r="H42" s="12">
        <v>13.308999999999999</v>
      </c>
      <c r="I42" s="12">
        <v>13.01</v>
      </c>
      <c r="J42" s="16" t="s">
        <v>27</v>
      </c>
      <c r="K42" s="17"/>
    </row>
    <row r="43" spans="1:12" x14ac:dyDescent="0.2">
      <c r="A43" s="65" t="s">
        <v>14</v>
      </c>
      <c r="B43" s="64"/>
      <c r="C43" s="38">
        <v>46043</v>
      </c>
      <c r="D43" s="12">
        <v>5.5759999999999996</v>
      </c>
      <c r="E43" s="12">
        <v>74.369</v>
      </c>
      <c r="F43" s="65">
        <v>19</v>
      </c>
      <c r="G43" s="64"/>
      <c r="H43" s="12">
        <v>13.151999999999999</v>
      </c>
      <c r="I43" s="12">
        <v>12.885</v>
      </c>
      <c r="J43" s="16" t="s">
        <v>12</v>
      </c>
      <c r="K43" s="17"/>
    </row>
    <row r="44" spans="1:12" x14ac:dyDescent="0.2">
      <c r="A44" s="65" t="s">
        <v>14</v>
      </c>
      <c r="B44" s="64"/>
      <c r="C44" s="38">
        <v>46050</v>
      </c>
      <c r="D44" s="12">
        <v>5.9249999999999998</v>
      </c>
      <c r="E44" s="12">
        <v>72.731999999999999</v>
      </c>
      <c r="F44" s="65">
        <v>19</v>
      </c>
      <c r="G44" s="64"/>
      <c r="H44" s="12">
        <v>13.086</v>
      </c>
      <c r="I44" s="12">
        <v>12.734</v>
      </c>
      <c r="J44" s="16" t="s">
        <v>33</v>
      </c>
      <c r="K44" s="17"/>
    </row>
    <row r="45" spans="1:12" x14ac:dyDescent="0.2">
      <c r="A45" s="65" t="s">
        <v>14</v>
      </c>
      <c r="B45" s="64"/>
      <c r="C45" s="38">
        <v>46071</v>
      </c>
      <c r="D45" s="12">
        <v>5.56</v>
      </c>
      <c r="E45" s="12">
        <v>67.992999999999995</v>
      </c>
      <c r="F45" s="65">
        <v>17</v>
      </c>
      <c r="G45" s="64"/>
      <c r="H45" s="12">
        <v>12.993</v>
      </c>
      <c r="I45" s="12">
        <v>12.686</v>
      </c>
      <c r="J45" s="16" t="s">
        <v>57</v>
      </c>
      <c r="K45" s="17"/>
    </row>
    <row r="46" spans="1:12" x14ac:dyDescent="0.2">
      <c r="A46" s="65" t="s">
        <v>14</v>
      </c>
      <c r="B46" s="64"/>
      <c r="C46" s="38">
        <v>46079</v>
      </c>
      <c r="D46" s="12">
        <v>4.9109999999999996</v>
      </c>
      <c r="E46" s="12">
        <v>60.076000000000001</v>
      </c>
      <c r="F46" s="65">
        <v>18</v>
      </c>
      <c r="G46" s="64"/>
      <c r="H46" s="12">
        <v>13.061</v>
      </c>
      <c r="I46" s="12">
        <v>12.72</v>
      </c>
      <c r="J46" s="63" t="s">
        <v>22</v>
      </c>
      <c r="K46" s="64"/>
    </row>
    <row r="47" spans="1:12" x14ac:dyDescent="0.2">
      <c r="A47" s="65" t="s">
        <v>16</v>
      </c>
      <c r="B47" s="64"/>
      <c r="C47" s="38">
        <v>46010</v>
      </c>
      <c r="D47" s="12">
        <v>5.5819999999999999</v>
      </c>
      <c r="E47" s="12">
        <v>68.162000000000006</v>
      </c>
      <c r="F47" s="65">
        <v>19</v>
      </c>
      <c r="G47" s="64"/>
      <c r="H47" s="12">
        <v>13.178000000000001</v>
      </c>
      <c r="I47" s="12">
        <v>12.888999999999999</v>
      </c>
      <c r="J47" s="16"/>
      <c r="K47" s="17"/>
    </row>
    <row r="48" spans="1:12" x14ac:dyDescent="0.2">
      <c r="A48" s="65" t="s">
        <v>16</v>
      </c>
      <c r="B48" s="64"/>
      <c r="C48" s="38">
        <v>46031</v>
      </c>
      <c r="D48" s="12">
        <v>6.07</v>
      </c>
      <c r="E48" s="12">
        <v>74.323999999999998</v>
      </c>
      <c r="F48" s="65">
        <v>19</v>
      </c>
      <c r="G48" s="64"/>
      <c r="H48" s="12">
        <v>13.125</v>
      </c>
      <c r="I48" s="12">
        <v>12.76</v>
      </c>
      <c r="J48" s="16" t="s">
        <v>23</v>
      </c>
      <c r="K48" s="17"/>
    </row>
    <row r="49" spans="1:11" x14ac:dyDescent="0.2">
      <c r="A49" s="65" t="s">
        <v>16</v>
      </c>
      <c r="B49" s="64"/>
      <c r="C49" s="38">
        <v>46039</v>
      </c>
      <c r="D49" s="12">
        <v>7.0869999999999997</v>
      </c>
      <c r="E49" s="12">
        <v>87.39</v>
      </c>
      <c r="F49" s="65">
        <v>17</v>
      </c>
      <c r="G49" s="64"/>
      <c r="H49" s="15" t="s">
        <v>64</v>
      </c>
      <c r="I49" s="15" t="s">
        <v>64</v>
      </c>
      <c r="J49" s="16"/>
      <c r="K49" s="17"/>
    </row>
    <row r="50" spans="1:11" x14ac:dyDescent="0.2">
      <c r="A50" s="65" t="s">
        <v>16</v>
      </c>
      <c r="B50" s="64"/>
      <c r="C50" s="38">
        <v>46045</v>
      </c>
      <c r="D50" s="12">
        <v>6.617</v>
      </c>
      <c r="E50" s="12">
        <v>81.299000000000007</v>
      </c>
      <c r="F50" s="65">
        <v>19</v>
      </c>
      <c r="G50" s="64"/>
      <c r="H50" s="12">
        <v>13.243</v>
      </c>
      <c r="I50" s="12">
        <v>12.906000000000001</v>
      </c>
      <c r="J50" s="16" t="s">
        <v>29</v>
      </c>
      <c r="K50" s="17"/>
    </row>
    <row r="51" spans="1:11" x14ac:dyDescent="0.2">
      <c r="A51" s="65" t="s">
        <v>16</v>
      </c>
      <c r="B51" s="64"/>
      <c r="C51" s="38">
        <v>46051</v>
      </c>
      <c r="D51" s="12">
        <v>7.15</v>
      </c>
      <c r="E51" s="12">
        <v>95.363</v>
      </c>
      <c r="F51" s="65">
        <v>16</v>
      </c>
      <c r="G51" s="64"/>
      <c r="H51" s="12">
        <v>13.295</v>
      </c>
      <c r="I51" s="12">
        <v>12.989000000000001</v>
      </c>
      <c r="J51" s="16" t="s">
        <v>34</v>
      </c>
      <c r="K51" s="17"/>
    </row>
    <row r="52" spans="1:11" x14ac:dyDescent="0.2">
      <c r="A52" s="65" t="s">
        <v>16</v>
      </c>
      <c r="B52" s="64"/>
      <c r="C52" s="38">
        <v>46072</v>
      </c>
      <c r="D52" s="12">
        <v>5.7839999999999998</v>
      </c>
      <c r="E52" s="12">
        <v>70.853999999999999</v>
      </c>
      <c r="F52" s="65">
        <v>18</v>
      </c>
      <c r="G52" s="64"/>
      <c r="H52" s="12">
        <v>13.105</v>
      </c>
      <c r="I52" s="12">
        <v>12.773999999999999</v>
      </c>
      <c r="J52" s="16" t="s">
        <v>58</v>
      </c>
      <c r="K52" s="17"/>
    </row>
    <row r="53" spans="1:11" x14ac:dyDescent="0.2">
      <c r="A53" s="65" t="s">
        <v>16</v>
      </c>
      <c r="B53" s="64"/>
      <c r="C53" s="38">
        <v>46080</v>
      </c>
      <c r="D53" s="12">
        <v>7.298</v>
      </c>
      <c r="E53" s="12">
        <v>89.751999999999995</v>
      </c>
      <c r="F53" s="65">
        <v>19</v>
      </c>
      <c r="G53" s="64"/>
      <c r="H53" s="12">
        <v>13.097</v>
      </c>
      <c r="I53" s="12">
        <v>12.753</v>
      </c>
      <c r="J53" s="16" t="s">
        <v>21</v>
      </c>
      <c r="K53" s="17"/>
    </row>
    <row r="54" spans="1:11" x14ac:dyDescent="0.2">
      <c r="A54" s="65" t="s">
        <v>35</v>
      </c>
      <c r="B54" s="64"/>
      <c r="C54" s="38">
        <v>46051</v>
      </c>
      <c r="D54" s="12">
        <v>6.0830000000000002</v>
      </c>
      <c r="E54" s="12">
        <v>74.284999999999997</v>
      </c>
      <c r="F54" s="65">
        <v>26</v>
      </c>
      <c r="G54" s="64"/>
      <c r="H54" s="12">
        <v>13.180999999999999</v>
      </c>
      <c r="I54" s="12">
        <v>12.7</v>
      </c>
      <c r="J54" s="16" t="s">
        <v>12</v>
      </c>
      <c r="K54" s="17"/>
    </row>
    <row r="55" spans="1:11" x14ac:dyDescent="0.2">
      <c r="A55" s="65" t="s">
        <v>17</v>
      </c>
      <c r="B55" s="64"/>
      <c r="C55" s="38">
        <v>46010</v>
      </c>
      <c r="D55" s="12">
        <v>6.34</v>
      </c>
      <c r="E55" s="12">
        <v>77.503</v>
      </c>
      <c r="F55" s="65">
        <v>20</v>
      </c>
      <c r="G55" s="64"/>
      <c r="H55" s="12">
        <v>13.097</v>
      </c>
      <c r="I55" s="31">
        <v>12.724</v>
      </c>
      <c r="J55" s="17"/>
      <c r="K55" s="17"/>
    </row>
    <row r="56" spans="1:11" x14ac:dyDescent="0.2">
      <c r="A56" s="65" t="s">
        <v>17</v>
      </c>
      <c r="B56" s="64"/>
      <c r="C56" s="38">
        <v>46029</v>
      </c>
      <c r="D56" s="12">
        <v>7.2960000000000003</v>
      </c>
      <c r="E56" s="12">
        <v>89.483000000000004</v>
      </c>
      <c r="F56" s="65">
        <v>19</v>
      </c>
      <c r="G56" s="64"/>
      <c r="H56" s="12">
        <v>13.099</v>
      </c>
      <c r="I56" s="12">
        <v>12.728999999999999</v>
      </c>
      <c r="J56" s="16" t="s">
        <v>21</v>
      </c>
      <c r="K56" s="17"/>
    </row>
    <row r="57" spans="1:11" x14ac:dyDescent="0.2">
      <c r="A57" s="65" t="s">
        <v>17</v>
      </c>
      <c r="B57" s="64"/>
      <c r="C57" s="38">
        <v>46038</v>
      </c>
      <c r="D57" s="12">
        <v>7.76</v>
      </c>
      <c r="E57" s="12">
        <v>94.421999999999997</v>
      </c>
      <c r="F57" s="65">
        <v>16</v>
      </c>
      <c r="G57" s="64"/>
      <c r="H57" s="12">
        <v>13.307</v>
      </c>
      <c r="I57" s="12">
        <v>12.965</v>
      </c>
      <c r="J57" s="16" t="s">
        <v>22</v>
      </c>
      <c r="K57" s="17"/>
    </row>
    <row r="58" spans="1:11" x14ac:dyDescent="0.2">
      <c r="A58" s="65" t="s">
        <v>17</v>
      </c>
      <c r="B58" s="64"/>
      <c r="C58" s="38">
        <v>46045</v>
      </c>
      <c r="D58" s="12">
        <v>6.7670000000000003</v>
      </c>
      <c r="E58" s="12">
        <v>83.26</v>
      </c>
      <c r="F58" s="65">
        <v>18</v>
      </c>
      <c r="G58" s="64"/>
      <c r="H58" s="12">
        <v>13.276</v>
      </c>
      <c r="I58" s="12">
        <v>12.942</v>
      </c>
      <c r="J58" s="16"/>
      <c r="K58" s="17"/>
    </row>
    <row r="59" spans="1:11" x14ac:dyDescent="0.2">
      <c r="A59" s="65" t="s">
        <v>17</v>
      </c>
      <c r="B59" s="64"/>
      <c r="C59" s="38">
        <v>46051</v>
      </c>
      <c r="D59" s="12">
        <v>6.9059999999999997</v>
      </c>
      <c r="E59" s="12">
        <v>84.956999999999994</v>
      </c>
      <c r="F59" s="65">
        <v>20</v>
      </c>
      <c r="G59" s="64"/>
      <c r="H59" s="12">
        <v>13.228</v>
      </c>
      <c r="I59" s="12">
        <v>12.840999999999999</v>
      </c>
      <c r="J59" s="16" t="s">
        <v>36</v>
      </c>
      <c r="K59" s="17"/>
    </row>
    <row r="60" spans="1:11" x14ac:dyDescent="0.2">
      <c r="A60" s="65" t="s">
        <v>17</v>
      </c>
      <c r="B60" s="64"/>
      <c r="C60" s="38">
        <v>46071</v>
      </c>
      <c r="D60" s="12">
        <v>7.6680000000000001</v>
      </c>
      <c r="E60" s="12">
        <v>94.296999999999997</v>
      </c>
      <c r="F60" s="65">
        <v>17</v>
      </c>
      <c r="G60" s="64"/>
      <c r="H60" s="12">
        <v>13.173</v>
      </c>
      <c r="I60" s="12">
        <v>12.840999999999999</v>
      </c>
      <c r="J60" s="16" t="s">
        <v>21</v>
      </c>
      <c r="K60" s="17"/>
    </row>
    <row r="61" spans="1:11" x14ac:dyDescent="0.2">
      <c r="A61" s="65" t="s">
        <v>17</v>
      </c>
      <c r="B61" s="64"/>
      <c r="C61" s="38">
        <v>46079</v>
      </c>
      <c r="D61" s="12">
        <v>7.9829999999999997</v>
      </c>
      <c r="E61" s="12">
        <v>98.516000000000005</v>
      </c>
      <c r="F61" s="65">
        <v>18</v>
      </c>
      <c r="G61" s="64"/>
      <c r="H61" s="12">
        <v>13.441000000000001</v>
      </c>
      <c r="I61" s="31">
        <v>13.119</v>
      </c>
      <c r="J61" s="17" t="s">
        <v>21</v>
      </c>
      <c r="K61" s="17"/>
    </row>
  </sheetData>
  <mergeCells count="124">
    <mergeCell ref="F48:G48"/>
    <mergeCell ref="F56:G56"/>
    <mergeCell ref="F57:G57"/>
    <mergeCell ref="F58:G58"/>
    <mergeCell ref="F59:G59"/>
    <mergeCell ref="F60:G60"/>
    <mergeCell ref="F61:G61"/>
    <mergeCell ref="F49:G49"/>
    <mergeCell ref="F50:G50"/>
    <mergeCell ref="F51:G51"/>
    <mergeCell ref="F52:G52"/>
    <mergeCell ref="F53:G53"/>
    <mergeCell ref="F54:G54"/>
    <mergeCell ref="F55:G55"/>
    <mergeCell ref="A42:B42"/>
    <mergeCell ref="A43:B43"/>
    <mergeCell ref="A44:B44"/>
    <mergeCell ref="A45:B45"/>
    <mergeCell ref="A46:B46"/>
    <mergeCell ref="A47:B47"/>
    <mergeCell ref="F42:G42"/>
    <mergeCell ref="F43:G43"/>
    <mergeCell ref="F44:G44"/>
    <mergeCell ref="F45:G45"/>
    <mergeCell ref="F46:G46"/>
    <mergeCell ref="F47:G47"/>
    <mergeCell ref="A37:B37"/>
    <mergeCell ref="A38:B38"/>
    <mergeCell ref="F38:G38"/>
    <mergeCell ref="A39:B39"/>
    <mergeCell ref="F39:G39"/>
    <mergeCell ref="A40:B40"/>
    <mergeCell ref="F40:G40"/>
    <mergeCell ref="F41:G41"/>
    <mergeCell ref="A41:B41"/>
    <mergeCell ref="A56:B56"/>
    <mergeCell ref="A57:B57"/>
    <mergeCell ref="A58:B58"/>
    <mergeCell ref="A59:B59"/>
    <mergeCell ref="A60:B60"/>
    <mergeCell ref="A61:B61"/>
    <mergeCell ref="A48:B48"/>
    <mergeCell ref="A49:B49"/>
    <mergeCell ref="A50:B50"/>
    <mergeCell ref="A51:B51"/>
    <mergeCell ref="A52:B52"/>
    <mergeCell ref="A53:B53"/>
    <mergeCell ref="A54:B54"/>
    <mergeCell ref="A20:B20"/>
    <mergeCell ref="A21:B21"/>
    <mergeCell ref="A22:B22"/>
    <mergeCell ref="A23:B23"/>
    <mergeCell ref="A24:B24"/>
    <mergeCell ref="A25:B25"/>
    <mergeCell ref="F33:G33"/>
    <mergeCell ref="F34:G34"/>
    <mergeCell ref="A55:B55"/>
    <mergeCell ref="A26:B26"/>
    <mergeCell ref="A27:B27"/>
    <mergeCell ref="A28:B28"/>
    <mergeCell ref="A29:B29"/>
    <mergeCell ref="A30:B30"/>
    <mergeCell ref="A31:B31"/>
    <mergeCell ref="F32:G32"/>
    <mergeCell ref="F36:G36"/>
    <mergeCell ref="F37:G37"/>
    <mergeCell ref="A32:B32"/>
    <mergeCell ref="A33:B33"/>
    <mergeCell ref="A34:B34"/>
    <mergeCell ref="A35:B35"/>
    <mergeCell ref="F35:G35"/>
    <mergeCell ref="A36:B36"/>
    <mergeCell ref="J18:K18"/>
    <mergeCell ref="A9:B9"/>
    <mergeCell ref="A10:B10"/>
    <mergeCell ref="A12:B12"/>
    <mergeCell ref="A13:B13"/>
    <mergeCell ref="A14:B14"/>
    <mergeCell ref="A15:B15"/>
    <mergeCell ref="A16:B16"/>
    <mergeCell ref="A19:B19"/>
    <mergeCell ref="A6:B6"/>
    <mergeCell ref="F6:G6"/>
    <mergeCell ref="A7:B7"/>
    <mergeCell ref="F7:G7"/>
    <mergeCell ref="A8:B8"/>
    <mergeCell ref="F8:G8"/>
    <mergeCell ref="F9:G9"/>
    <mergeCell ref="A17:B17"/>
    <mergeCell ref="A18:B18"/>
    <mergeCell ref="F4:G4"/>
    <mergeCell ref="F5:G5"/>
    <mergeCell ref="A1:B1"/>
    <mergeCell ref="A2:B2"/>
    <mergeCell ref="F2:G2"/>
    <mergeCell ref="A3:B3"/>
    <mergeCell ref="F3:G3"/>
    <mergeCell ref="A4:B4"/>
    <mergeCell ref="A5:B5"/>
    <mergeCell ref="F20:G20"/>
    <mergeCell ref="F21:G21"/>
    <mergeCell ref="F22:G22"/>
    <mergeCell ref="F23:G23"/>
    <mergeCell ref="F24:G24"/>
    <mergeCell ref="F30:G30"/>
    <mergeCell ref="F31:G31"/>
    <mergeCell ref="J39:K39"/>
    <mergeCell ref="J46:K46"/>
    <mergeCell ref="F25:G25"/>
    <mergeCell ref="J25:K25"/>
    <mergeCell ref="F26:G26"/>
    <mergeCell ref="J26:K26"/>
    <mergeCell ref="F27:G27"/>
    <mergeCell ref="F28:G28"/>
    <mergeCell ref="F29:G29"/>
    <mergeCell ref="F10:G10"/>
    <mergeCell ref="F12:G12"/>
    <mergeCell ref="F13:G13"/>
    <mergeCell ref="F14:G14"/>
    <mergeCell ref="F15:G15"/>
    <mergeCell ref="F16:G16"/>
    <mergeCell ref="F17:G17"/>
    <mergeCell ref="F18:G18"/>
    <mergeCell ref="F19:G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2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sheetData>
    <row r="1" spans="1:27" x14ac:dyDescent="0.2">
      <c r="A1" s="71" t="s">
        <v>0</v>
      </c>
      <c r="B1" s="64"/>
      <c r="C1" s="1" t="s">
        <v>1</v>
      </c>
      <c r="D1" s="1" t="s">
        <v>63</v>
      </c>
      <c r="E1" s="1"/>
      <c r="F1" s="1" t="s">
        <v>4</v>
      </c>
      <c r="H1" s="1" t="s">
        <v>5</v>
      </c>
      <c r="I1" s="1" t="s">
        <v>6</v>
      </c>
      <c r="J1" s="4" t="s">
        <v>7</v>
      </c>
      <c r="K1" s="1"/>
    </row>
    <row r="2" spans="1:27" x14ac:dyDescent="0.2">
      <c r="A2" s="65" t="s">
        <v>35</v>
      </c>
      <c r="B2" s="64"/>
      <c r="C2" s="38">
        <v>46072</v>
      </c>
      <c r="D2" s="12">
        <v>9.94</v>
      </c>
      <c r="E2" s="12">
        <v>66.338999999999999</v>
      </c>
      <c r="F2" s="65">
        <v>24</v>
      </c>
      <c r="G2" s="64"/>
      <c r="H2" s="12">
        <v>12.994</v>
      </c>
      <c r="I2" s="12">
        <v>12.539</v>
      </c>
      <c r="J2" s="16" t="s">
        <v>21</v>
      </c>
      <c r="K2" s="17"/>
    </row>
    <row r="3" spans="1:27" x14ac:dyDescent="0.2">
      <c r="A3" s="65" t="s">
        <v>47</v>
      </c>
      <c r="B3" s="64"/>
      <c r="C3" s="38">
        <v>46076</v>
      </c>
      <c r="D3" s="12">
        <v>8.4220000000000006</v>
      </c>
      <c r="E3" s="12">
        <v>104.372</v>
      </c>
      <c r="F3" s="65">
        <v>20</v>
      </c>
      <c r="G3" s="64"/>
      <c r="H3" s="12">
        <v>13.323</v>
      </c>
      <c r="I3" s="12">
        <v>12.973000000000001</v>
      </c>
      <c r="J3" s="16" t="s">
        <v>21</v>
      </c>
      <c r="K3" s="17"/>
    </row>
    <row r="4" spans="1:27" x14ac:dyDescent="0.2">
      <c r="A4" s="65" t="s">
        <v>47</v>
      </c>
      <c r="B4" s="64"/>
      <c r="C4" s="38">
        <v>46064</v>
      </c>
      <c r="D4" s="12">
        <v>7.0709999999999997</v>
      </c>
      <c r="E4" s="12">
        <v>86.507999999999996</v>
      </c>
      <c r="F4" s="65">
        <v>19</v>
      </c>
      <c r="G4" s="64"/>
      <c r="H4" s="12">
        <v>13.127000000000001</v>
      </c>
      <c r="I4" s="12">
        <v>12.753</v>
      </c>
      <c r="J4" s="29" t="s">
        <v>48</v>
      </c>
      <c r="K4" s="30"/>
      <c r="L4" s="30"/>
      <c r="M4" s="30"/>
    </row>
    <row r="5" spans="1:27" x14ac:dyDescent="0.2">
      <c r="A5" s="65" t="s">
        <v>49</v>
      </c>
      <c r="B5" s="64"/>
      <c r="C5" s="38">
        <v>46077</v>
      </c>
      <c r="D5" s="12">
        <v>6.415</v>
      </c>
      <c r="E5" s="12">
        <v>78.748999999999995</v>
      </c>
      <c r="F5" s="65">
        <v>20</v>
      </c>
      <c r="G5" s="64"/>
      <c r="H5" s="12">
        <v>12.991</v>
      </c>
      <c r="I5" s="12">
        <v>12.625999999999999</v>
      </c>
      <c r="J5" s="16" t="s">
        <v>21</v>
      </c>
      <c r="K5" s="17"/>
    </row>
    <row r="6" spans="1:27" x14ac:dyDescent="0.2">
      <c r="A6" s="65" t="s">
        <v>43</v>
      </c>
      <c r="B6" s="64"/>
      <c r="C6" s="38">
        <v>46072</v>
      </c>
      <c r="D6" s="12">
        <v>6.1130000000000004</v>
      </c>
      <c r="E6" s="12">
        <v>74.844999999999999</v>
      </c>
      <c r="F6" s="65">
        <v>19</v>
      </c>
      <c r="G6" s="64"/>
      <c r="H6" s="12">
        <v>12.992000000000001</v>
      </c>
      <c r="I6" s="12">
        <v>12.614000000000001</v>
      </c>
      <c r="J6" s="16" t="s">
        <v>21</v>
      </c>
      <c r="K6" s="17"/>
    </row>
    <row r="7" spans="1:27" x14ac:dyDescent="0.2">
      <c r="A7" s="65" t="s">
        <v>35</v>
      </c>
      <c r="B7" s="64"/>
      <c r="C7" s="38">
        <v>46051</v>
      </c>
      <c r="D7" s="12">
        <v>6.0830000000000002</v>
      </c>
      <c r="E7" s="12">
        <v>74.284999999999997</v>
      </c>
      <c r="F7" s="65">
        <v>26</v>
      </c>
      <c r="G7" s="64"/>
      <c r="H7" s="12">
        <v>13.180999999999999</v>
      </c>
      <c r="I7" s="12">
        <v>12.7</v>
      </c>
      <c r="J7" s="16" t="s">
        <v>12</v>
      </c>
      <c r="K7" s="17"/>
    </row>
    <row r="8" spans="1:27" x14ac:dyDescent="0.2">
      <c r="A8" s="65" t="s">
        <v>37</v>
      </c>
      <c r="B8" s="64"/>
      <c r="C8" s="38">
        <v>46073</v>
      </c>
      <c r="D8" s="12">
        <v>6.0250000000000004</v>
      </c>
      <c r="E8" s="12">
        <v>73.822999999999993</v>
      </c>
      <c r="F8" s="65">
        <v>19</v>
      </c>
      <c r="G8" s="64"/>
      <c r="H8" s="12">
        <v>13.04</v>
      </c>
      <c r="I8" s="12">
        <v>12.678000000000001</v>
      </c>
      <c r="J8" s="16" t="s">
        <v>60</v>
      </c>
      <c r="K8" s="17"/>
    </row>
    <row r="9" spans="1:27" x14ac:dyDescent="0.2">
      <c r="A9" s="65" t="s">
        <v>53</v>
      </c>
      <c r="B9" s="64"/>
      <c r="C9" s="38">
        <v>46073</v>
      </c>
      <c r="D9" s="12">
        <v>5.7</v>
      </c>
      <c r="E9" s="12">
        <v>69.778000000000006</v>
      </c>
      <c r="F9" s="65">
        <v>20</v>
      </c>
      <c r="G9" s="64"/>
      <c r="H9" s="12">
        <v>13.073</v>
      </c>
      <c r="I9" s="12">
        <v>12.722</v>
      </c>
      <c r="J9" s="16" t="s">
        <v>61</v>
      </c>
      <c r="K9" s="17"/>
    </row>
    <row r="10" spans="1:27" x14ac:dyDescent="0.2">
      <c r="A10" s="65" t="s">
        <v>37</v>
      </c>
      <c r="B10" s="64"/>
      <c r="C10" s="38">
        <v>46052</v>
      </c>
      <c r="D10" s="12">
        <v>5.6929999999999996</v>
      </c>
      <c r="E10" s="12">
        <v>69.768000000000001</v>
      </c>
      <c r="F10" s="65">
        <v>19</v>
      </c>
      <c r="G10" s="64"/>
      <c r="H10" s="12">
        <v>13.172000000000001</v>
      </c>
      <c r="I10" s="12">
        <v>12.811999999999999</v>
      </c>
      <c r="J10" s="16"/>
      <c r="K10" s="17"/>
    </row>
    <row r="11" spans="1:27" x14ac:dyDescent="0.2">
      <c r="A11" s="65" t="s">
        <v>53</v>
      </c>
      <c r="B11" s="64"/>
      <c r="C11" s="38">
        <v>46066</v>
      </c>
      <c r="D11" s="12">
        <v>5.585</v>
      </c>
      <c r="E11" s="12">
        <v>68.204999999999998</v>
      </c>
      <c r="F11" s="65">
        <v>21</v>
      </c>
      <c r="G11" s="64"/>
      <c r="H11" s="12">
        <v>13.04</v>
      </c>
      <c r="I11" s="12">
        <v>12.648</v>
      </c>
      <c r="J11" s="16" t="s">
        <v>54</v>
      </c>
      <c r="K11" s="17"/>
    </row>
    <row r="12" spans="1:27" x14ac:dyDescent="0.2">
      <c r="A12" s="65" t="s">
        <v>49</v>
      </c>
      <c r="B12" s="64"/>
      <c r="C12" s="38">
        <v>46065</v>
      </c>
      <c r="D12" s="12">
        <v>5.4749999999999996</v>
      </c>
      <c r="E12" s="12">
        <v>66.894999999999996</v>
      </c>
      <c r="F12" s="65">
        <v>20</v>
      </c>
      <c r="G12" s="64"/>
      <c r="H12" s="12">
        <v>13.106999999999999</v>
      </c>
      <c r="I12" s="12">
        <v>12.731999999999999</v>
      </c>
      <c r="J12" s="29" t="s">
        <v>50</v>
      </c>
      <c r="K12" s="30"/>
      <c r="L12" s="30"/>
    </row>
    <row r="13" spans="1:27" x14ac:dyDescent="0.2">
      <c r="A13" s="65" t="s">
        <v>42</v>
      </c>
      <c r="B13" s="64"/>
      <c r="C13" s="38">
        <v>46060</v>
      </c>
      <c r="D13" s="12">
        <v>5.4210000000000003</v>
      </c>
      <c r="E13" s="12">
        <v>66.231999999999999</v>
      </c>
      <c r="F13" s="65">
        <v>20</v>
      </c>
      <c r="G13" s="64"/>
      <c r="H13" s="12">
        <v>13.108000000000001</v>
      </c>
      <c r="I13" s="12">
        <v>12.724</v>
      </c>
      <c r="J13" s="16" t="s">
        <v>21</v>
      </c>
      <c r="K13" s="17"/>
    </row>
    <row r="14" spans="1:27" x14ac:dyDescent="0.2">
      <c r="A14" s="65" t="s">
        <v>55</v>
      </c>
      <c r="B14" s="64"/>
      <c r="C14" s="38">
        <v>46077</v>
      </c>
      <c r="D14" s="12">
        <v>5.0949999999999998</v>
      </c>
      <c r="E14" s="12">
        <v>62.526000000000003</v>
      </c>
      <c r="F14" s="65">
        <v>21</v>
      </c>
      <c r="G14" s="64"/>
      <c r="H14" s="12">
        <v>12.978999999999999</v>
      </c>
      <c r="I14" s="12">
        <v>12.599</v>
      </c>
      <c r="J14" s="16" t="s">
        <v>21</v>
      </c>
      <c r="K14" s="17"/>
    </row>
    <row r="15" spans="1:27" x14ac:dyDescent="0.2">
      <c r="A15" s="72" t="s">
        <v>38</v>
      </c>
      <c r="B15" s="64"/>
      <c r="C15" s="42">
        <v>46053</v>
      </c>
      <c r="D15" s="41">
        <v>5.077</v>
      </c>
      <c r="E15" s="41">
        <v>61.981000000000002</v>
      </c>
      <c r="F15" s="72">
        <v>20</v>
      </c>
      <c r="G15" s="64"/>
      <c r="H15" s="41">
        <v>12.911</v>
      </c>
      <c r="I15" s="41">
        <v>12.512</v>
      </c>
      <c r="J15" s="43" t="s">
        <v>39</v>
      </c>
      <c r="K15" s="44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 spans="1:27" x14ac:dyDescent="0.2">
      <c r="A16" s="72" t="s">
        <v>51</v>
      </c>
      <c r="B16" s="64"/>
      <c r="C16" s="42">
        <v>46066</v>
      </c>
      <c r="D16" s="41">
        <v>5.0119999999999996</v>
      </c>
      <c r="E16" s="41">
        <v>61.533000000000001</v>
      </c>
      <c r="F16" s="72">
        <v>21</v>
      </c>
      <c r="G16" s="64"/>
      <c r="H16" s="41">
        <v>12.961</v>
      </c>
      <c r="I16" s="41">
        <v>12.557</v>
      </c>
      <c r="J16" s="46" t="s">
        <v>52</v>
      </c>
      <c r="K16" s="47"/>
      <c r="L16" s="47"/>
      <c r="M16" s="47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 spans="1:27" x14ac:dyDescent="0.2">
      <c r="A17" s="72" t="s">
        <v>40</v>
      </c>
      <c r="B17" s="64"/>
      <c r="C17" s="42">
        <v>46058</v>
      </c>
      <c r="D17" s="41">
        <v>4.95</v>
      </c>
      <c r="E17" s="41">
        <v>54.197000000000003</v>
      </c>
      <c r="F17" s="72">
        <v>20</v>
      </c>
      <c r="G17" s="64"/>
      <c r="H17" s="41">
        <v>17.882999999999999</v>
      </c>
      <c r="I17" s="41">
        <v>12.519</v>
      </c>
      <c r="J17" s="43" t="s">
        <v>41</v>
      </c>
      <c r="K17" s="44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 spans="1:27" x14ac:dyDescent="0.2">
      <c r="A18" s="72" t="s">
        <v>40</v>
      </c>
      <c r="B18" s="64"/>
      <c r="C18" s="42">
        <v>46073</v>
      </c>
      <c r="D18" s="41">
        <v>4.8090000000000002</v>
      </c>
      <c r="E18" s="41">
        <v>58.911000000000001</v>
      </c>
      <c r="F18" s="72">
        <v>20</v>
      </c>
      <c r="G18" s="64"/>
      <c r="H18" s="41">
        <v>12.952</v>
      </c>
      <c r="I18" s="41">
        <v>12.564</v>
      </c>
      <c r="J18" s="43" t="s">
        <v>21</v>
      </c>
      <c r="K18" s="44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 spans="1:27" x14ac:dyDescent="0.2">
      <c r="A19" s="65" t="s">
        <v>55</v>
      </c>
      <c r="B19" s="64"/>
      <c r="C19" s="38">
        <v>46067</v>
      </c>
      <c r="D19" s="12">
        <v>4.75</v>
      </c>
      <c r="E19" s="12">
        <v>57.884999999999998</v>
      </c>
      <c r="F19" s="65">
        <v>22</v>
      </c>
      <c r="G19" s="64"/>
      <c r="H19" s="12">
        <v>12.967000000000001</v>
      </c>
      <c r="I19" s="12">
        <v>12.538</v>
      </c>
      <c r="J19" s="16"/>
      <c r="K19" s="17"/>
    </row>
    <row r="20" spans="1:27" x14ac:dyDescent="0.2">
      <c r="A20" s="72" t="s">
        <v>38</v>
      </c>
      <c r="B20" s="64"/>
      <c r="C20" s="42">
        <v>46076</v>
      </c>
      <c r="D20" s="41">
        <v>4.71</v>
      </c>
      <c r="E20" s="41">
        <v>57.695999999999998</v>
      </c>
      <c r="F20" s="72">
        <v>20</v>
      </c>
      <c r="G20" s="64"/>
      <c r="H20" s="41">
        <v>13.154999999999999</v>
      </c>
      <c r="I20" s="41">
        <v>12.78</v>
      </c>
      <c r="J20" s="43" t="s">
        <v>21</v>
      </c>
      <c r="K20" s="44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 spans="1:27" x14ac:dyDescent="0.2">
      <c r="A21" s="65" t="s">
        <v>43</v>
      </c>
      <c r="B21" s="64"/>
      <c r="C21" s="38">
        <v>46060</v>
      </c>
      <c r="D21" s="12">
        <v>4.6710000000000003</v>
      </c>
      <c r="E21" s="12">
        <v>56.719000000000001</v>
      </c>
      <c r="F21" s="65">
        <v>20</v>
      </c>
      <c r="G21" s="64"/>
      <c r="H21" s="12">
        <v>12.974</v>
      </c>
      <c r="I21" s="12">
        <v>12.599</v>
      </c>
      <c r="J21" s="16" t="s">
        <v>44</v>
      </c>
      <c r="K21" s="17"/>
    </row>
    <row r="22" spans="1:27" x14ac:dyDescent="0.2">
      <c r="A22" s="72" t="s">
        <v>51</v>
      </c>
      <c r="B22" s="64"/>
      <c r="C22" s="42">
        <v>46073</v>
      </c>
      <c r="D22" s="41">
        <v>4.53</v>
      </c>
      <c r="E22" s="41">
        <v>60.420999999999999</v>
      </c>
      <c r="F22" s="72">
        <v>21</v>
      </c>
      <c r="G22" s="64"/>
      <c r="H22" s="41">
        <v>12.943</v>
      </c>
      <c r="I22" s="41">
        <v>12.555</v>
      </c>
      <c r="J22" s="43" t="s">
        <v>59</v>
      </c>
      <c r="K22" s="44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 spans="1:27" x14ac:dyDescent="0.2">
      <c r="A23" s="65" t="s">
        <v>42</v>
      </c>
      <c r="B23" s="64"/>
      <c r="C23" s="38">
        <v>46077</v>
      </c>
      <c r="D23" s="12">
        <v>5.5430000000000001</v>
      </c>
      <c r="E23" s="12">
        <v>67.891000000000005</v>
      </c>
      <c r="F23" s="65">
        <v>20</v>
      </c>
      <c r="G23" s="64"/>
      <c r="H23" s="12">
        <v>13.15</v>
      </c>
      <c r="I23" s="12">
        <v>12.785</v>
      </c>
      <c r="J23" s="63" t="s">
        <v>65</v>
      </c>
      <c r="K23" s="64"/>
    </row>
  </sheetData>
  <mergeCells count="46">
    <mergeCell ref="F20:G20"/>
    <mergeCell ref="F21:G21"/>
    <mergeCell ref="F22:G22"/>
    <mergeCell ref="F23:G23"/>
    <mergeCell ref="J23:K23"/>
    <mergeCell ref="A20:B20"/>
    <mergeCell ref="A21:B21"/>
    <mergeCell ref="A22:B22"/>
    <mergeCell ref="A23:B23"/>
    <mergeCell ref="A9:B9"/>
    <mergeCell ref="A10:B10"/>
    <mergeCell ref="A11:B11"/>
    <mergeCell ref="A12:B12"/>
    <mergeCell ref="A13:B13"/>
    <mergeCell ref="A14:B14"/>
    <mergeCell ref="A15:B15"/>
    <mergeCell ref="F9:G9"/>
    <mergeCell ref="A16:B16"/>
    <mergeCell ref="A17:B17"/>
    <mergeCell ref="A18:B18"/>
    <mergeCell ref="A19:B19"/>
    <mergeCell ref="F17:G17"/>
    <mergeCell ref="F18:G18"/>
    <mergeCell ref="F19:G19"/>
    <mergeCell ref="F10:G10"/>
    <mergeCell ref="F11:G11"/>
    <mergeCell ref="F12:G12"/>
    <mergeCell ref="F13:G13"/>
    <mergeCell ref="F14:G14"/>
    <mergeCell ref="F15:G15"/>
    <mergeCell ref="F16:G16"/>
    <mergeCell ref="A6:B6"/>
    <mergeCell ref="F6:G6"/>
    <mergeCell ref="A7:B7"/>
    <mergeCell ref="F7:G7"/>
    <mergeCell ref="A8:B8"/>
    <mergeCell ref="F8:G8"/>
    <mergeCell ref="F4:G4"/>
    <mergeCell ref="F5:G5"/>
    <mergeCell ref="A1:B1"/>
    <mergeCell ref="A2:B2"/>
    <mergeCell ref="F2:G2"/>
    <mergeCell ref="A3:B3"/>
    <mergeCell ref="F3:G3"/>
    <mergeCell ref="A4:B4"/>
    <mergeCell ref="A5:B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21"/>
  <sheetViews>
    <sheetView tabSelected="1" workbookViewId="0">
      <selection activeCell="A2" sqref="A2"/>
    </sheetView>
  </sheetViews>
  <sheetFormatPr baseColWidth="10" defaultColWidth="12.6640625" defaultRowHeight="15.75" customHeight="1" x14ac:dyDescent="0.15"/>
  <sheetData>
    <row r="1" spans="1:4" ht="15.75" customHeight="1" x14ac:dyDescent="0.15">
      <c r="A1" s="33" t="s">
        <v>0</v>
      </c>
      <c r="B1" s="33" t="s">
        <v>66</v>
      </c>
      <c r="C1" s="33" t="s">
        <v>67</v>
      </c>
      <c r="D1" s="33" t="s">
        <v>68</v>
      </c>
    </row>
    <row r="2" spans="1:4" ht="15.75" customHeight="1" x14ac:dyDescent="0.15">
      <c r="A2" s="33" t="s">
        <v>45</v>
      </c>
      <c r="B2" s="33" t="s">
        <v>69</v>
      </c>
    </row>
    <row r="3" spans="1:4" ht="15.75" customHeight="1" x14ac:dyDescent="0.15">
      <c r="A3" s="33" t="s">
        <v>11</v>
      </c>
      <c r="B3" s="33" t="s">
        <v>69</v>
      </c>
    </row>
    <row r="4" spans="1:4" ht="15.75" customHeight="1" x14ac:dyDescent="0.15">
      <c r="A4" s="33" t="s">
        <v>8</v>
      </c>
      <c r="B4" s="33" t="s">
        <v>69</v>
      </c>
    </row>
    <row r="5" spans="1:4" ht="15.75" customHeight="1" x14ac:dyDescent="0.15">
      <c r="A5" s="33" t="s">
        <v>13</v>
      </c>
      <c r="B5" s="33" t="s">
        <v>69</v>
      </c>
    </row>
    <row r="6" spans="1:4" ht="15.75" customHeight="1" x14ac:dyDescent="0.15">
      <c r="A6" s="33" t="s">
        <v>10</v>
      </c>
      <c r="B6" s="33" t="s">
        <v>69</v>
      </c>
    </row>
    <row r="7" spans="1:4" ht="15.75" customHeight="1" x14ac:dyDescent="0.15">
      <c r="A7" s="33" t="s">
        <v>9</v>
      </c>
      <c r="B7" s="33" t="s">
        <v>69</v>
      </c>
    </row>
    <row r="8" spans="1:4" ht="15.75" customHeight="1" x14ac:dyDescent="0.15">
      <c r="A8" s="33" t="s">
        <v>14</v>
      </c>
      <c r="B8" s="33" t="s">
        <v>69</v>
      </c>
    </row>
    <row r="9" spans="1:4" ht="15.75" customHeight="1" x14ac:dyDescent="0.15">
      <c r="A9" s="33" t="s">
        <v>16</v>
      </c>
      <c r="B9" s="33" t="s">
        <v>69</v>
      </c>
    </row>
    <row r="10" spans="1:4" ht="15.75" customHeight="1" x14ac:dyDescent="0.15">
      <c r="A10" s="33" t="s">
        <v>17</v>
      </c>
      <c r="B10" s="33" t="s">
        <v>69</v>
      </c>
    </row>
    <row r="11" spans="1:4" ht="15.75" customHeight="1" x14ac:dyDescent="0.15">
      <c r="A11" s="33" t="s">
        <v>35</v>
      </c>
      <c r="B11" s="33" t="s">
        <v>70</v>
      </c>
    </row>
    <row r="12" spans="1:4" ht="15.75" customHeight="1" x14ac:dyDescent="0.15">
      <c r="A12" s="33" t="s">
        <v>47</v>
      </c>
      <c r="B12" s="33" t="s">
        <v>70</v>
      </c>
    </row>
    <row r="13" spans="1:4" ht="15.75" customHeight="1" x14ac:dyDescent="0.15">
      <c r="A13" s="33" t="s">
        <v>43</v>
      </c>
      <c r="B13" s="33" t="s">
        <v>70</v>
      </c>
    </row>
    <row r="14" spans="1:4" ht="15.75" customHeight="1" x14ac:dyDescent="0.15">
      <c r="A14" s="33" t="s">
        <v>49</v>
      </c>
      <c r="B14" s="33" t="s">
        <v>70</v>
      </c>
    </row>
    <row r="15" spans="1:4" ht="15.75" customHeight="1" x14ac:dyDescent="0.15">
      <c r="A15" s="33" t="s">
        <v>37</v>
      </c>
      <c r="B15" s="33" t="s">
        <v>70</v>
      </c>
    </row>
    <row r="16" spans="1:4" ht="15.75" customHeight="1" x14ac:dyDescent="0.15">
      <c r="A16" s="33" t="s">
        <v>53</v>
      </c>
      <c r="B16" s="33" t="s">
        <v>70</v>
      </c>
    </row>
    <row r="17" spans="1:2" ht="15.75" customHeight="1" x14ac:dyDescent="0.15">
      <c r="A17" s="33" t="s">
        <v>42</v>
      </c>
      <c r="B17" s="33" t="s">
        <v>70</v>
      </c>
    </row>
    <row r="18" spans="1:2" ht="15.75" customHeight="1" x14ac:dyDescent="0.15">
      <c r="A18" s="33" t="s">
        <v>55</v>
      </c>
      <c r="B18" s="33" t="s">
        <v>70</v>
      </c>
    </row>
    <row r="19" spans="1:2" ht="15.75" customHeight="1" x14ac:dyDescent="0.15">
      <c r="A19" s="33" t="s">
        <v>38</v>
      </c>
      <c r="B19" s="33" t="s">
        <v>70</v>
      </c>
    </row>
    <row r="20" spans="1:2" ht="15.75" customHeight="1" x14ac:dyDescent="0.15">
      <c r="A20" s="33" t="s">
        <v>40</v>
      </c>
      <c r="B20" s="33" t="s">
        <v>70</v>
      </c>
    </row>
    <row r="21" spans="1:2" ht="15.75" customHeight="1" x14ac:dyDescent="0.15">
      <c r="A21" s="33" t="s">
        <v>51</v>
      </c>
      <c r="B21" s="33" t="s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S59"/>
  <sheetViews>
    <sheetView workbookViewId="0"/>
  </sheetViews>
  <sheetFormatPr baseColWidth="10" defaultColWidth="12.6640625" defaultRowHeight="15.75" customHeight="1" x14ac:dyDescent="0.15"/>
  <sheetData>
    <row r="1" spans="1:19" x14ac:dyDescent="0.2">
      <c r="A1" s="48" t="s">
        <v>71</v>
      </c>
      <c r="B1" s="76" t="s">
        <v>0</v>
      </c>
      <c r="C1" s="77"/>
      <c r="D1" s="50" t="s">
        <v>72</v>
      </c>
      <c r="E1" s="50" t="s">
        <v>73</v>
      </c>
      <c r="F1" s="50" t="s">
        <v>74</v>
      </c>
      <c r="G1" s="50" t="s">
        <v>5</v>
      </c>
      <c r="H1" s="51" t="s">
        <v>6</v>
      </c>
      <c r="I1" s="78" t="s">
        <v>75</v>
      </c>
      <c r="J1" s="79"/>
      <c r="K1" s="49" t="s">
        <v>11</v>
      </c>
      <c r="L1" s="49" t="s">
        <v>8</v>
      </c>
      <c r="M1" s="49" t="s">
        <v>13</v>
      </c>
      <c r="N1" s="49" t="s">
        <v>10</v>
      </c>
      <c r="O1" s="49" t="s">
        <v>9</v>
      </c>
      <c r="P1" s="49" t="s">
        <v>14</v>
      </c>
      <c r="Q1" s="49" t="s">
        <v>17</v>
      </c>
      <c r="R1" s="49" t="s">
        <v>16</v>
      </c>
      <c r="S1" s="49" t="s">
        <v>45</v>
      </c>
    </row>
    <row r="2" spans="1:19" x14ac:dyDescent="0.2">
      <c r="A2" s="80">
        <v>1</v>
      </c>
      <c r="B2" s="74" t="s">
        <v>11</v>
      </c>
      <c r="C2" s="75"/>
      <c r="D2" s="52">
        <v>5.97</v>
      </c>
      <c r="E2" s="52">
        <v>99.873000000000005</v>
      </c>
      <c r="F2" s="52">
        <v>16</v>
      </c>
      <c r="G2" s="52">
        <v>13.039</v>
      </c>
      <c r="H2" s="53">
        <v>12.738</v>
      </c>
      <c r="I2" s="73" t="s">
        <v>76</v>
      </c>
      <c r="J2" s="64"/>
      <c r="K2" s="33">
        <f ca="1">IFERROR(__xludf.DUMMYFUNCTION("ROUND(AVERAGE(FILTER($D:$D, $B:$B = K1)), 2)"),5.97)</f>
        <v>5.97</v>
      </c>
      <c r="L2" s="33">
        <f ca="1">IFERROR(__xludf.DUMMYFUNCTION("ROUND(AVERAGE(FILTER($D:$D, $B:$B = L1)), 2)"),6.53)</f>
        <v>6.53</v>
      </c>
      <c r="M2" s="33">
        <f ca="1">IFERROR(__xludf.DUMMYFUNCTION("ROUND(AVERAGE(FILTER($D:$D, $B:$B = M1)), 2)"),6.28)</f>
        <v>6.28</v>
      </c>
      <c r="N2" s="33">
        <f ca="1">IFERROR(__xludf.DUMMYFUNCTION("ROUND(AVERAGE(FILTER($D:$D, $B:$B = N1)), 2)"),7.53)</f>
        <v>7.53</v>
      </c>
      <c r="O2" s="33">
        <f ca="1">IFERROR(__xludf.DUMMYFUNCTION("ROUND(AVERAGE(FILTER($D:$D, $B:$B = O1)), 2)"),7.13)</f>
        <v>7.13</v>
      </c>
      <c r="P2" s="33">
        <f ca="1">IFERROR(__xludf.DUMMYFUNCTION("ROUND(AVERAGE(FILTER($D:$D, $B:$B = P1)), 2)"),6.04)</f>
        <v>6.04</v>
      </c>
      <c r="Q2" s="33">
        <f ca="1">IFERROR(__xludf.DUMMYFUNCTION("ROUND(AVERAGE(FILTER($D:$D, $B:$B = Q1)), 2)"),7.12)</f>
        <v>7.12</v>
      </c>
      <c r="R2" s="33">
        <f ca="1">IFERROR(__xludf.DUMMYFUNCTION("ROUND(AVERAGE(FILTER($D:$D, $B:$B = R1)), 2)"),6.38)</f>
        <v>6.38</v>
      </c>
      <c r="S2" s="33">
        <f ca="1">IFERROR(__xludf.DUMMYFUNCTION("ROUND(AVERAGE(FILTER($D:$D, $B:$B = S1)), 2)"),3.94)</f>
        <v>3.94</v>
      </c>
    </row>
    <row r="3" spans="1:19" x14ac:dyDescent="0.2">
      <c r="A3" s="81"/>
      <c r="B3" s="74" t="s">
        <v>8</v>
      </c>
      <c r="C3" s="75"/>
      <c r="D3" s="52">
        <v>6.7910000000000004</v>
      </c>
      <c r="E3" s="52">
        <v>73.069999999999993</v>
      </c>
      <c r="F3" s="52">
        <v>20</v>
      </c>
      <c r="G3" s="52"/>
      <c r="H3" s="53"/>
      <c r="I3" s="73" t="s">
        <v>77</v>
      </c>
      <c r="J3" s="64"/>
      <c r="K3" s="33">
        <f ca="1">IFERROR(__xludf.DUMMYFUNCTION("ROUND(AVERAGE(FILTER($E:$E, $B:$B = K1)), 2)"),77.66)</f>
        <v>77.66</v>
      </c>
      <c r="L3" s="33">
        <f ca="1">IFERROR(__xludf.DUMMYFUNCTION("ROUND(AVERAGE(FILTER($E:$E, $B:$B = L1)), 2)"),78.88)</f>
        <v>78.88</v>
      </c>
      <c r="M3" s="33">
        <f ca="1">IFERROR(__xludf.DUMMYFUNCTION("ROUND(AVERAGE(FILTER($E:$E, $B:$B = M1)), 2)"),80.33)</f>
        <v>80.33</v>
      </c>
      <c r="N3" s="33">
        <f ca="1">IFERROR(__xludf.DUMMYFUNCTION("ROUND(AVERAGE(FILTER($E:$E, $B:$B = N1)), 2)"),89.04)</f>
        <v>89.04</v>
      </c>
      <c r="O3" s="33">
        <f ca="1">IFERROR(__xludf.DUMMYFUNCTION("ROUND(AVERAGE(FILTER($E:$E, $B:$B = O1)), 2)"),88.33)</f>
        <v>88.33</v>
      </c>
      <c r="P3" s="33">
        <f ca="1">IFERROR(__xludf.DUMMYFUNCTION("ROUND(AVERAGE(FILTER($E:$E, $B:$B = P1)), 2)"),74.88)</f>
        <v>74.88</v>
      </c>
      <c r="Q3" s="33">
        <f ca="1">IFERROR(__xludf.DUMMYFUNCTION("ROUND(AVERAGE(FILTER($E:$E, $B:$B = Q1)), 2)"),87.32)</f>
        <v>87.32</v>
      </c>
      <c r="R3" s="33">
        <f ca="1">IFERROR(__xludf.DUMMYFUNCTION("ROUND(AVERAGE(FILTER($E:$E, $B:$B = R1)), 2)"),79.57)</f>
        <v>79.569999999999993</v>
      </c>
      <c r="S3" s="33">
        <f ca="1">IFERROR(__xludf.DUMMYFUNCTION("ROUND(AVERAGE(FILTER($E:$E, $B:$B = S1)), 2)"),52.53)</f>
        <v>52.53</v>
      </c>
    </row>
    <row r="4" spans="1:19" x14ac:dyDescent="0.2">
      <c r="A4" s="81"/>
      <c r="B4" s="74" t="s">
        <v>13</v>
      </c>
      <c r="C4" s="75"/>
      <c r="D4" s="52">
        <v>6.2880000000000003</v>
      </c>
      <c r="E4" s="52">
        <v>88.134</v>
      </c>
      <c r="F4" s="52">
        <v>19</v>
      </c>
      <c r="G4" s="52">
        <v>12.105</v>
      </c>
      <c r="H4" s="53">
        <v>12.595000000000001</v>
      </c>
      <c r="I4" s="73" t="s">
        <v>78</v>
      </c>
      <c r="J4" s="64"/>
      <c r="K4" s="33">
        <f ca="1">IFERROR(__xludf.DUMMYFUNCTION("ROUND(AVERAGE(FILTER($F:$F, $B:$B = K1)), 2)"),16.2)</f>
        <v>16.2</v>
      </c>
      <c r="L4" s="33">
        <f ca="1">IFERROR(__xludf.DUMMYFUNCTION("ROUND(AVERAGE(FILTER($F:$F, $B:$B = L1)), 2)"),18.83)</f>
        <v>18.829999999999998</v>
      </c>
      <c r="M4" s="33">
        <f ca="1">IFERROR(__xludf.DUMMYFUNCTION("ROUND(AVERAGE(FILTER($F:$F, $B:$B = M1)), 2)"),19.33)</f>
        <v>19.329999999999998</v>
      </c>
      <c r="N4" s="33">
        <f ca="1">IFERROR(__xludf.DUMMYFUNCTION("ROUND(AVERAGE(FILTER($F:$F, $B:$B = N1)), 2)"),18.5)</f>
        <v>18.5</v>
      </c>
      <c r="O4" s="33">
        <f ca="1">IFERROR(__xludf.DUMMYFUNCTION("ROUND(AVERAGE(FILTER($F:$F, $B:$B = O1)), 2)"),16.83)</f>
        <v>16.829999999999998</v>
      </c>
      <c r="P4" s="33">
        <f ca="1">IFERROR(__xludf.DUMMYFUNCTION("ROUND(AVERAGE(FILTER($F:$F, $B:$B = P1)), 2)"),17.67)</f>
        <v>17.670000000000002</v>
      </c>
      <c r="Q4" s="33">
        <f ca="1">IFERROR(__xludf.DUMMYFUNCTION("ROUND(AVERAGE(FILTER($F:$F, $B:$B = Q1)), 2)"),18.33)</f>
        <v>18.329999999999998</v>
      </c>
      <c r="R4" s="33">
        <f ca="1">IFERROR(__xludf.DUMMYFUNCTION("ROUND(AVERAGE(FILTER($F:$F, $B:$B = R1)), 2)"),18)</f>
        <v>18</v>
      </c>
      <c r="S4" s="33">
        <f ca="1">IFERROR(__xludf.DUMMYFUNCTION("ROUND(AVERAGE(FILTER($F:$F, $B:$B = S1)), 2)"),21)</f>
        <v>21</v>
      </c>
    </row>
    <row r="5" spans="1:19" x14ac:dyDescent="0.2">
      <c r="A5" s="81"/>
      <c r="B5" s="74" t="s">
        <v>10</v>
      </c>
      <c r="C5" s="75"/>
      <c r="D5" s="52">
        <v>8.1199999999999992</v>
      </c>
      <c r="E5" s="52">
        <v>76.64</v>
      </c>
      <c r="F5" s="52">
        <v>20</v>
      </c>
      <c r="G5" s="52">
        <v>13.488</v>
      </c>
      <c r="H5" s="53">
        <v>13.116</v>
      </c>
      <c r="I5" s="73" t="s">
        <v>79</v>
      </c>
      <c r="J5" s="64"/>
      <c r="K5" s="33">
        <f ca="1">IFERROR(__xludf.DUMMYFUNCTION("ROUND(AVERAGE(FILTER($G:$G, $B:$B = K1)), 2)"),13.27)</f>
        <v>13.27</v>
      </c>
      <c r="L5" s="33">
        <f ca="1">IFERROR(__xludf.DUMMYFUNCTION("ROUND(AVERAGE(FILTER($G:$G, $B:$B = L1)), 2)"),13.31)</f>
        <v>13.31</v>
      </c>
      <c r="M5" s="33">
        <f ca="1">IFERROR(__xludf.DUMMYFUNCTION("ROUND(AVERAGE(FILTER($G:$G, $B:$B = M1)), 2)"),13)</f>
        <v>13</v>
      </c>
      <c r="N5" s="33">
        <f ca="1">IFERROR(__xludf.DUMMYFUNCTION("ROUND(AVERAGE(FILTER($G:$G, $B:$B = N1)), 2)"),13.31)</f>
        <v>13.31</v>
      </c>
      <c r="O5" s="33">
        <f ca="1">IFERROR(__xludf.DUMMYFUNCTION("ROUND(AVERAGE(FILTER($G:$G, $B:$B = O1)), 2)"),13.3)</f>
        <v>13.3</v>
      </c>
      <c r="P5" s="33">
        <f ca="1">IFERROR(__xludf.DUMMYFUNCTION("ROUND(AVERAGE(FILTER($G:$G, $B:$B = P1)), 2)"),13.3)</f>
        <v>13.3</v>
      </c>
      <c r="Q5" s="33">
        <f ca="1">IFERROR(__xludf.DUMMYFUNCTION("ROUND(AVERAGE(FILTER($G:$G, $B:$B = Q1)), 2)"),13.2)</f>
        <v>13.2</v>
      </c>
      <c r="R5" s="33">
        <f ca="1">IFERROR(__xludf.DUMMYFUNCTION("ROUND(AVERAGE(FILTER($G:$G, $B:$B = R1)), 2)"),13.19)</f>
        <v>13.19</v>
      </c>
      <c r="S5" s="33">
        <f ca="1">IFERROR(__xludf.DUMMYFUNCTION("ROUND(AVERAGE(FILTER($G:$G, $B:$B = S1)), 2)"),12.77)</f>
        <v>12.77</v>
      </c>
    </row>
    <row r="6" spans="1:19" x14ac:dyDescent="0.2">
      <c r="A6" s="81"/>
      <c r="B6" s="74" t="s">
        <v>9</v>
      </c>
      <c r="C6" s="75"/>
      <c r="D6" s="52">
        <v>7.15</v>
      </c>
      <c r="E6" s="52">
        <v>90.572999999999993</v>
      </c>
      <c r="F6" s="52">
        <v>17</v>
      </c>
      <c r="G6" s="52">
        <v>13.398999999999999</v>
      </c>
      <c r="H6" s="53"/>
      <c r="I6" s="73" t="s">
        <v>80</v>
      </c>
      <c r="J6" s="64"/>
      <c r="K6" s="33">
        <f ca="1">IFERROR(__xludf.DUMMYFUNCTION("ROUND(AVERAGE(FILTER($H:$H, $B:$B = K1)), 2)"),12.95)</f>
        <v>12.95</v>
      </c>
      <c r="L6" s="33">
        <f ca="1">IFERROR(__xludf.DUMMYFUNCTION("ROUND(AVERAGE(FILTER($H:$H, $B:$B = L1)), 2)"),12.95)</f>
        <v>12.95</v>
      </c>
      <c r="M6" s="33">
        <f ca="1">IFERROR(__xludf.DUMMYFUNCTION("ROUND(AVERAGE(FILTER($H:$H, $B:$B = M1)), 2)"),12.79)</f>
        <v>12.79</v>
      </c>
      <c r="N6" s="33">
        <f ca="1">IFERROR(__xludf.DUMMYFUNCTION("ROUND(AVERAGE(FILTER($H:$H, $B:$B = N1)), 2)"),12.98)</f>
        <v>12.98</v>
      </c>
      <c r="O6" s="33">
        <f ca="1">IFERROR(__xludf.DUMMYFUNCTION("ROUND(AVERAGE(FILTER($H:$H, $B:$B = O1)), 2)"),12.97)</f>
        <v>12.97</v>
      </c>
      <c r="P6" s="33">
        <f ca="1">IFERROR(__xludf.DUMMYFUNCTION("ROUND(AVERAGE(FILTER($H:$H, $B:$B = P1)), 2)"),12.81)</f>
        <v>12.81</v>
      </c>
      <c r="Q6" s="33">
        <f ca="1">IFERROR(__xludf.DUMMYFUNCTION("ROUND(AVERAGE(FILTER($H:$H, $B:$B = Q1)), 2)"),12.84)</f>
        <v>12.84</v>
      </c>
      <c r="R6" s="33">
        <f ca="1">IFERROR(__xludf.DUMMYFUNCTION("ROUND(AVERAGE(FILTER($H:$H, $B:$B = R1)), 2)"),12.86)</f>
        <v>12.86</v>
      </c>
      <c r="S6" s="33">
        <f ca="1">IFERROR(__xludf.DUMMYFUNCTION("ROUND(AVERAGE(FILTER($H:$H, $B:$B = S1)), 2)"),12.39)</f>
        <v>12.39</v>
      </c>
    </row>
    <row r="7" spans="1:19" x14ac:dyDescent="0.2">
      <c r="A7" s="81"/>
      <c r="B7" s="74" t="s">
        <v>14</v>
      </c>
      <c r="C7" s="75"/>
      <c r="D7" s="52">
        <v>6.54</v>
      </c>
      <c r="E7" s="52">
        <v>79.847999999999999</v>
      </c>
      <c r="F7" s="52">
        <v>17</v>
      </c>
      <c r="G7" s="52">
        <v>13.247</v>
      </c>
      <c r="H7" s="53">
        <v>12.923999999999999</v>
      </c>
      <c r="I7" s="54"/>
      <c r="J7" s="33" t="s">
        <v>81</v>
      </c>
      <c r="K7" s="49" t="s">
        <v>11</v>
      </c>
      <c r="L7" s="49" t="s">
        <v>8</v>
      </c>
      <c r="M7" s="49" t="s">
        <v>13</v>
      </c>
      <c r="N7" s="49" t="s">
        <v>10</v>
      </c>
      <c r="O7" s="49" t="s">
        <v>9</v>
      </c>
      <c r="P7" s="49" t="s">
        <v>14</v>
      </c>
      <c r="Q7" s="49" t="s">
        <v>17</v>
      </c>
      <c r="R7" s="49" t="s">
        <v>16</v>
      </c>
      <c r="S7" s="49" t="s">
        <v>45</v>
      </c>
    </row>
    <row r="8" spans="1:19" ht="15.75" customHeight="1" x14ac:dyDescent="0.15">
      <c r="A8" s="81"/>
      <c r="B8" s="74" t="s">
        <v>17</v>
      </c>
      <c r="C8" s="75"/>
      <c r="D8" s="52">
        <v>6.34</v>
      </c>
      <c r="E8" s="52">
        <v>77.503</v>
      </c>
      <c r="F8" s="52">
        <v>20</v>
      </c>
      <c r="G8" s="52">
        <v>13.097</v>
      </c>
      <c r="H8" s="53">
        <v>12.724</v>
      </c>
      <c r="I8" s="54"/>
      <c r="J8" s="33" t="s">
        <v>72</v>
      </c>
      <c r="K8" s="55">
        <f t="shared" ref="K8:S8" ca="1" si="0">(K2-MIN($K2:$S2))/(MAX($K2:$S2)-MIN($K2:$S2))</f>
        <v>0.56545961002785505</v>
      </c>
      <c r="L8" s="55">
        <f t="shared" ca="1" si="0"/>
        <v>0.7214484679665738</v>
      </c>
      <c r="M8" s="55">
        <f t="shared" ca="1" si="0"/>
        <v>0.65181058495821731</v>
      </c>
      <c r="N8" s="55">
        <f t="shared" ca="1" si="0"/>
        <v>1</v>
      </c>
      <c r="O8" s="55">
        <f t="shared" ca="1" si="0"/>
        <v>0.88857938718662943</v>
      </c>
      <c r="P8" s="55">
        <f t="shared" ca="1" si="0"/>
        <v>0.58495821727019492</v>
      </c>
      <c r="Q8" s="55">
        <f t="shared" ca="1" si="0"/>
        <v>0.88579387186629521</v>
      </c>
      <c r="R8" s="55">
        <f t="shared" ca="1" si="0"/>
        <v>0.67966573816155984</v>
      </c>
      <c r="S8" s="55">
        <f t="shared" ca="1" si="0"/>
        <v>0</v>
      </c>
    </row>
    <row r="9" spans="1:19" ht="15.75" customHeight="1" x14ac:dyDescent="0.15">
      <c r="A9" s="81"/>
      <c r="B9" s="74" t="s">
        <v>16</v>
      </c>
      <c r="C9" s="75"/>
      <c r="D9" s="52">
        <v>5.5819999999999999</v>
      </c>
      <c r="E9" s="52">
        <v>68.162000000000006</v>
      </c>
      <c r="F9" s="52">
        <v>19</v>
      </c>
      <c r="G9" s="52">
        <v>13.178000000000001</v>
      </c>
      <c r="H9" s="53">
        <v>12.888999999999999</v>
      </c>
      <c r="I9" s="54"/>
      <c r="J9" s="33" t="s">
        <v>73</v>
      </c>
      <c r="K9" s="55">
        <f t="shared" ref="K9:S9" ca="1" si="1">(K3-MIN($K3:$S3))/(MAX($K3:$S3)-MIN($K3:$S3))</f>
        <v>0.68830457408929036</v>
      </c>
      <c r="L9" s="55">
        <f t="shared" ca="1" si="1"/>
        <v>0.72172007669131721</v>
      </c>
      <c r="M9" s="55">
        <f t="shared" ca="1" si="1"/>
        <v>0.76143522322651314</v>
      </c>
      <c r="N9" s="55">
        <f t="shared" ca="1" si="1"/>
        <v>1</v>
      </c>
      <c r="O9" s="55">
        <f t="shared" ca="1" si="1"/>
        <v>0.98055327307586937</v>
      </c>
      <c r="P9" s="55">
        <f t="shared" ca="1" si="1"/>
        <v>0.61216105176663904</v>
      </c>
      <c r="Q9" s="55">
        <f t="shared" ca="1" si="1"/>
        <v>0.95288961928238802</v>
      </c>
      <c r="R9" s="55">
        <f t="shared" ca="1" si="1"/>
        <v>0.74061900849082407</v>
      </c>
      <c r="S9" s="55">
        <f t="shared" ca="1" si="1"/>
        <v>0</v>
      </c>
    </row>
    <row r="10" spans="1:19" ht="15.75" customHeight="1" x14ac:dyDescent="0.15">
      <c r="A10" s="82"/>
      <c r="B10" s="83" t="s">
        <v>45</v>
      </c>
      <c r="C10" s="85"/>
      <c r="D10" s="56">
        <v>3.9390000000000001</v>
      </c>
      <c r="E10" s="57">
        <v>52.53</v>
      </c>
      <c r="F10" s="57">
        <v>21</v>
      </c>
      <c r="G10" s="57">
        <v>12.773999999999999</v>
      </c>
      <c r="H10" s="58">
        <v>12.39</v>
      </c>
      <c r="J10" s="33"/>
      <c r="K10" s="55"/>
      <c r="L10" s="55"/>
      <c r="M10" s="55"/>
      <c r="N10" s="55"/>
      <c r="O10" s="55"/>
      <c r="P10" s="55"/>
      <c r="Q10" s="55"/>
      <c r="R10" s="55"/>
      <c r="S10" s="55"/>
    </row>
    <row r="11" spans="1:19" ht="15.75" customHeight="1" x14ac:dyDescent="0.15">
      <c r="A11" s="80">
        <v>2</v>
      </c>
      <c r="B11" s="74" t="s">
        <v>11</v>
      </c>
      <c r="C11" s="75"/>
      <c r="D11" s="52">
        <v>7.4119999999999999</v>
      </c>
      <c r="E11" s="52">
        <v>91.063999999999993</v>
      </c>
      <c r="F11" s="52">
        <v>15</v>
      </c>
      <c r="G11" s="52">
        <v>13.391999999999999</v>
      </c>
      <c r="H11" s="53">
        <v>13.11</v>
      </c>
      <c r="I11" s="54"/>
      <c r="J11" s="33" t="s">
        <v>82</v>
      </c>
      <c r="K11" s="55">
        <f t="shared" ref="K11:S11" ca="1" si="2">1-(K4-MIN($K4:$S4))/(MAX($K4:$S4)-MIN($K4:$S4))</f>
        <v>1</v>
      </c>
      <c r="L11" s="55">
        <f t="shared" ca="1" si="2"/>
        <v>0.45208333333333361</v>
      </c>
      <c r="M11" s="55">
        <f t="shared" ca="1" si="2"/>
        <v>0.34791666666666698</v>
      </c>
      <c r="N11" s="55">
        <f t="shared" ca="1" si="2"/>
        <v>0.52083333333333326</v>
      </c>
      <c r="O11" s="55">
        <f t="shared" ca="1" si="2"/>
        <v>0.86875000000000024</v>
      </c>
      <c r="P11" s="55">
        <f t="shared" ca="1" si="2"/>
        <v>0.69374999999999953</v>
      </c>
      <c r="Q11" s="55">
        <f t="shared" ca="1" si="2"/>
        <v>0.55625000000000036</v>
      </c>
      <c r="R11" s="55">
        <f t="shared" ca="1" si="2"/>
        <v>0.62499999999999989</v>
      </c>
      <c r="S11" s="55">
        <f t="shared" ca="1" si="2"/>
        <v>0</v>
      </c>
    </row>
    <row r="12" spans="1:19" ht="15.75" customHeight="1" x14ac:dyDescent="0.15">
      <c r="A12" s="81"/>
      <c r="B12" s="74" t="s">
        <v>8</v>
      </c>
      <c r="C12" s="75"/>
      <c r="D12" s="52">
        <v>6.2060000000000004</v>
      </c>
      <c r="E12" s="52">
        <v>76.611999999999995</v>
      </c>
      <c r="F12" s="52">
        <v>18</v>
      </c>
      <c r="G12" s="52">
        <v>13.351000000000001</v>
      </c>
      <c r="H12" s="53">
        <v>13.026</v>
      </c>
      <c r="I12" s="54"/>
      <c r="J12" s="33" t="s">
        <v>5</v>
      </c>
      <c r="K12" s="55">
        <f t="shared" ref="K12:S12" ca="1" si="3">(K5-MIN($K5:$S5))/(MAX($K5:$S5)-MIN($K5:$S5))</f>
        <v>0.92592592592592438</v>
      </c>
      <c r="L12" s="55">
        <f t="shared" ca="1" si="3"/>
        <v>1</v>
      </c>
      <c r="M12" s="55">
        <f t="shared" ca="1" si="3"/>
        <v>0.42592592592592599</v>
      </c>
      <c r="N12" s="55">
        <f t="shared" ca="1" si="3"/>
        <v>1</v>
      </c>
      <c r="O12" s="55">
        <f t="shared" ca="1" si="3"/>
        <v>0.98148148148148195</v>
      </c>
      <c r="P12" s="55">
        <f t="shared" ca="1" si="3"/>
        <v>0.98148148148148195</v>
      </c>
      <c r="Q12" s="55">
        <f t="shared" ca="1" si="3"/>
        <v>0.79629629629629439</v>
      </c>
      <c r="R12" s="55">
        <f t="shared" ca="1" si="3"/>
        <v>0.77777777777777635</v>
      </c>
      <c r="S12" s="55">
        <f t="shared" ca="1" si="3"/>
        <v>0</v>
      </c>
    </row>
    <row r="13" spans="1:19" ht="15.75" customHeight="1" x14ac:dyDescent="0.15">
      <c r="A13" s="81"/>
      <c r="B13" s="74" t="s">
        <v>13</v>
      </c>
      <c r="C13" s="75"/>
      <c r="D13" s="52">
        <v>5.2350000000000003</v>
      </c>
      <c r="E13" s="52">
        <v>63.912999999999997</v>
      </c>
      <c r="F13" s="52">
        <v>21</v>
      </c>
      <c r="G13" s="52">
        <v>13.018000000000001</v>
      </c>
      <c r="H13" s="53">
        <v>12.651999999999999</v>
      </c>
      <c r="I13" s="54"/>
      <c r="J13" s="33" t="s">
        <v>6</v>
      </c>
      <c r="K13" s="55">
        <f t="shared" ref="K13:S13" ca="1" si="4">(K6-MIN($K6:$S6))/(MAX($K6:$S6)-MIN($K6:$S6))</f>
        <v>0.94915254237287938</v>
      </c>
      <c r="L13" s="55">
        <f t="shared" ca="1" si="4"/>
        <v>0.94915254237287938</v>
      </c>
      <c r="M13" s="55">
        <f t="shared" ca="1" si="4"/>
        <v>0.677966101694913</v>
      </c>
      <c r="N13" s="55">
        <f t="shared" ca="1" si="4"/>
        <v>1</v>
      </c>
      <c r="O13" s="55">
        <f t="shared" ca="1" si="4"/>
        <v>0.9830508474576275</v>
      </c>
      <c r="P13" s="55">
        <f t="shared" ca="1" si="4"/>
        <v>0.71186440677966112</v>
      </c>
      <c r="Q13" s="55">
        <f t="shared" ca="1" si="4"/>
        <v>0.76271186440677863</v>
      </c>
      <c r="R13" s="55">
        <f t="shared" ca="1" si="4"/>
        <v>0.79661016949152363</v>
      </c>
      <c r="S13" s="55">
        <f t="shared" ca="1" si="4"/>
        <v>0</v>
      </c>
    </row>
    <row r="14" spans="1:19" ht="15.75" customHeight="1" x14ac:dyDescent="0.15">
      <c r="A14" s="81"/>
      <c r="B14" s="74" t="s">
        <v>10</v>
      </c>
      <c r="C14" s="75"/>
      <c r="D14" s="52">
        <v>8.1050000000000004</v>
      </c>
      <c r="E14" s="52">
        <v>100.09</v>
      </c>
      <c r="F14" s="52">
        <v>21</v>
      </c>
      <c r="G14" s="52">
        <v>13.204000000000001</v>
      </c>
      <c r="H14" s="53">
        <v>12.868</v>
      </c>
      <c r="I14" s="54"/>
    </row>
    <row r="15" spans="1:19" ht="15.75" customHeight="1" x14ac:dyDescent="0.15">
      <c r="A15" s="81"/>
      <c r="B15" s="74" t="s">
        <v>9</v>
      </c>
      <c r="C15" s="75"/>
      <c r="D15" s="52">
        <v>7.6180000000000003</v>
      </c>
      <c r="E15" s="52">
        <v>93.984999999999999</v>
      </c>
      <c r="F15" s="52">
        <v>17</v>
      </c>
      <c r="G15" s="52">
        <v>13.22</v>
      </c>
      <c r="H15" s="53">
        <v>12.897</v>
      </c>
      <c r="I15" s="54"/>
    </row>
    <row r="16" spans="1:19" ht="15.75" customHeight="1" x14ac:dyDescent="0.15">
      <c r="A16" s="81"/>
      <c r="B16" s="74" t="s">
        <v>14</v>
      </c>
      <c r="C16" s="75"/>
      <c r="D16" s="52">
        <v>5.8789999999999996</v>
      </c>
      <c r="E16" s="52">
        <v>71.346000000000004</v>
      </c>
      <c r="F16" s="52">
        <v>19</v>
      </c>
      <c r="G16" s="52">
        <v>13.989000000000001</v>
      </c>
      <c r="H16" s="53">
        <v>12.609</v>
      </c>
      <c r="I16" s="54"/>
    </row>
    <row r="17" spans="1:9" ht="15.75" customHeight="1" x14ac:dyDescent="0.15">
      <c r="A17" s="81"/>
      <c r="B17" s="74" t="s">
        <v>17</v>
      </c>
      <c r="C17" s="75"/>
      <c r="D17" s="52">
        <v>7.2960000000000003</v>
      </c>
      <c r="E17" s="52">
        <v>89.483000000000004</v>
      </c>
      <c r="F17" s="52">
        <v>19</v>
      </c>
      <c r="G17" s="52">
        <v>13.099</v>
      </c>
      <c r="H17" s="53">
        <v>12.728999999999999</v>
      </c>
      <c r="I17" s="54"/>
    </row>
    <row r="18" spans="1:9" ht="15.75" customHeight="1" x14ac:dyDescent="0.15">
      <c r="A18" s="82"/>
      <c r="B18" s="83" t="s">
        <v>16</v>
      </c>
      <c r="C18" s="84"/>
      <c r="D18" s="56">
        <v>6.07</v>
      </c>
      <c r="E18" s="56">
        <v>74.323999999999998</v>
      </c>
      <c r="F18" s="56">
        <v>19</v>
      </c>
      <c r="G18" s="56">
        <v>13.125</v>
      </c>
      <c r="H18" s="59">
        <v>12.76</v>
      </c>
      <c r="I18" s="54"/>
    </row>
    <row r="19" spans="1:9" ht="15.75" customHeight="1" x14ac:dyDescent="0.15">
      <c r="A19" s="60"/>
      <c r="B19" s="61"/>
      <c r="C19" s="61"/>
      <c r="D19" s="52"/>
      <c r="E19" s="52"/>
      <c r="F19" s="52"/>
      <c r="G19" s="52"/>
      <c r="H19" s="53"/>
      <c r="I19" s="54"/>
    </row>
    <row r="20" spans="1:9" ht="15.75" customHeight="1" x14ac:dyDescent="0.15">
      <c r="A20" s="80">
        <v>3</v>
      </c>
      <c r="B20" s="74" t="s">
        <v>11</v>
      </c>
      <c r="C20" s="75"/>
      <c r="D20" s="52">
        <v>5.79</v>
      </c>
      <c r="E20" s="52">
        <v>71.093999999999994</v>
      </c>
      <c r="F20" s="52">
        <v>16</v>
      </c>
      <c r="G20" s="52">
        <v>13.516</v>
      </c>
      <c r="H20" s="53">
        <v>13.234</v>
      </c>
      <c r="I20" s="54"/>
    </row>
    <row r="21" spans="1:9" ht="15.75" customHeight="1" x14ac:dyDescent="0.15">
      <c r="A21" s="81"/>
      <c r="B21" s="74" t="s">
        <v>8</v>
      </c>
      <c r="C21" s="75"/>
      <c r="D21" s="52">
        <v>5.9669999999999996</v>
      </c>
      <c r="E21" s="52">
        <v>73.453000000000003</v>
      </c>
      <c r="F21" s="52">
        <v>18</v>
      </c>
      <c r="G21" s="52">
        <v>13.288</v>
      </c>
      <c r="H21" s="53">
        <v>12.904</v>
      </c>
      <c r="I21" s="54"/>
    </row>
    <row r="22" spans="1:9" ht="15.75" customHeight="1" x14ac:dyDescent="0.15">
      <c r="A22" s="81"/>
      <c r="B22" s="74" t="s">
        <v>13</v>
      </c>
      <c r="C22" s="75"/>
      <c r="D22" s="52">
        <v>7.5739999999999998</v>
      </c>
      <c r="E22" s="52">
        <v>101</v>
      </c>
      <c r="F22" s="52">
        <v>18</v>
      </c>
      <c r="G22" s="52">
        <v>13.192</v>
      </c>
      <c r="H22" s="53">
        <v>12.855</v>
      </c>
      <c r="I22" s="54"/>
    </row>
    <row r="23" spans="1:9" ht="15.75" customHeight="1" x14ac:dyDescent="0.15">
      <c r="A23" s="81"/>
      <c r="B23" s="74" t="s">
        <v>10</v>
      </c>
      <c r="C23" s="75"/>
      <c r="D23" s="52">
        <v>7.6749999999999998</v>
      </c>
      <c r="E23" s="52">
        <v>94.641999999999996</v>
      </c>
      <c r="F23" s="52">
        <v>16</v>
      </c>
      <c r="G23" s="52">
        <v>13.314</v>
      </c>
      <c r="H23" s="53">
        <v>13.016</v>
      </c>
      <c r="I23" s="54"/>
    </row>
    <row r="24" spans="1:9" ht="15.75" customHeight="1" x14ac:dyDescent="0.15">
      <c r="A24" s="81"/>
      <c r="B24" s="74" t="s">
        <v>9</v>
      </c>
      <c r="C24" s="75"/>
      <c r="D24" s="52">
        <v>8.032</v>
      </c>
      <c r="E24" s="52">
        <v>99.231999999999999</v>
      </c>
      <c r="F24" s="52">
        <v>16</v>
      </c>
      <c r="G24" s="52">
        <v>13.42</v>
      </c>
      <c r="H24" s="53">
        <v>13.125999999999999</v>
      </c>
      <c r="I24" s="54"/>
    </row>
    <row r="25" spans="1:9" ht="15.75" customHeight="1" x14ac:dyDescent="0.15">
      <c r="A25" s="81"/>
      <c r="B25" s="74" t="s">
        <v>14</v>
      </c>
      <c r="C25" s="75"/>
      <c r="D25" s="52">
        <v>6.7539999999999996</v>
      </c>
      <c r="E25" s="52">
        <v>83.016000000000005</v>
      </c>
      <c r="F25" s="52">
        <v>15</v>
      </c>
      <c r="G25" s="52">
        <v>13.308999999999999</v>
      </c>
      <c r="H25" s="53">
        <v>13.01</v>
      </c>
      <c r="I25" s="54"/>
    </row>
    <row r="26" spans="1:9" ht="15.75" customHeight="1" x14ac:dyDescent="0.15">
      <c r="A26" s="81"/>
      <c r="B26" s="74" t="s">
        <v>17</v>
      </c>
      <c r="C26" s="75"/>
      <c r="D26" s="52">
        <v>7.76</v>
      </c>
      <c r="E26" s="52">
        <v>94.421999999999997</v>
      </c>
      <c r="F26" s="52">
        <v>16</v>
      </c>
      <c r="G26" s="52">
        <v>13.307</v>
      </c>
      <c r="H26" s="53">
        <v>12.965</v>
      </c>
      <c r="I26" s="54"/>
    </row>
    <row r="27" spans="1:9" ht="15.75" customHeight="1" x14ac:dyDescent="0.15">
      <c r="A27" s="82"/>
      <c r="B27" s="83" t="s">
        <v>16</v>
      </c>
      <c r="C27" s="84"/>
      <c r="D27" s="56">
        <v>7.0869999999999997</v>
      </c>
      <c r="E27" s="56">
        <v>87.39</v>
      </c>
      <c r="F27" s="56">
        <v>17</v>
      </c>
      <c r="G27" s="56"/>
      <c r="H27" s="59"/>
      <c r="I27" s="54"/>
    </row>
    <row r="28" spans="1:9" ht="15.75" customHeight="1" x14ac:dyDescent="0.15">
      <c r="A28" s="80">
        <v>4</v>
      </c>
      <c r="B28" s="74" t="s">
        <v>11</v>
      </c>
      <c r="C28" s="75"/>
      <c r="D28" s="52">
        <v>5.8010000000000002</v>
      </c>
      <c r="E28" s="52">
        <v>71.335999999999999</v>
      </c>
      <c r="F28" s="52">
        <v>19</v>
      </c>
      <c r="G28" s="52">
        <v>13.512</v>
      </c>
      <c r="H28" s="53">
        <v>13.147</v>
      </c>
      <c r="I28" s="54"/>
    </row>
    <row r="29" spans="1:9" ht="15.75" customHeight="1" x14ac:dyDescent="0.15">
      <c r="A29" s="81"/>
      <c r="B29" s="74" t="s">
        <v>8</v>
      </c>
      <c r="C29" s="75"/>
      <c r="D29" s="52">
        <v>6.9089999999999998</v>
      </c>
      <c r="E29" s="52">
        <v>85.38</v>
      </c>
      <c r="F29" s="52">
        <v>19</v>
      </c>
      <c r="G29" s="52">
        <v>13.436999999999999</v>
      </c>
      <c r="H29" s="53">
        <v>13.082000000000001</v>
      </c>
      <c r="I29" s="54"/>
    </row>
    <row r="30" spans="1:9" ht="15.75" customHeight="1" x14ac:dyDescent="0.15">
      <c r="A30" s="81"/>
      <c r="B30" s="74" t="s">
        <v>13</v>
      </c>
      <c r="C30" s="75"/>
      <c r="D30" s="52">
        <v>7.18</v>
      </c>
      <c r="E30" s="52">
        <v>88.206000000000003</v>
      </c>
      <c r="F30" s="52">
        <v>19</v>
      </c>
      <c r="G30" s="52">
        <v>13.346</v>
      </c>
      <c r="H30" s="53">
        <v>12.981999999999999</v>
      </c>
      <c r="I30" s="54"/>
    </row>
    <row r="31" spans="1:9" ht="15.75" customHeight="1" x14ac:dyDescent="0.15">
      <c r="A31" s="81"/>
      <c r="B31" s="74" t="s">
        <v>10</v>
      </c>
      <c r="C31" s="75"/>
      <c r="D31" s="52">
        <v>7.101</v>
      </c>
      <c r="E31" s="52">
        <v>87.790999999999997</v>
      </c>
      <c r="F31" s="52">
        <v>17</v>
      </c>
      <c r="G31" s="52">
        <v>13.336</v>
      </c>
      <c r="H31" s="53">
        <v>13.010999999999999</v>
      </c>
      <c r="I31" s="54"/>
    </row>
    <row r="32" spans="1:9" ht="15.75" customHeight="1" x14ac:dyDescent="0.15">
      <c r="A32" s="81"/>
      <c r="B32" s="74" t="s">
        <v>9</v>
      </c>
      <c r="C32" s="75"/>
      <c r="D32" s="52">
        <v>7.4850000000000003</v>
      </c>
      <c r="E32" s="52">
        <v>92.32</v>
      </c>
      <c r="F32" s="52">
        <v>18</v>
      </c>
      <c r="G32" s="52">
        <v>13.263</v>
      </c>
      <c r="H32" s="53">
        <v>12.952</v>
      </c>
      <c r="I32" s="54"/>
    </row>
    <row r="33" spans="1:9" ht="15.75" customHeight="1" x14ac:dyDescent="0.15">
      <c r="A33" s="81"/>
      <c r="B33" s="74" t="s">
        <v>14</v>
      </c>
      <c r="C33" s="75"/>
      <c r="D33" s="52">
        <v>5.5759999999999996</v>
      </c>
      <c r="E33" s="52">
        <v>74.369</v>
      </c>
      <c r="F33" s="52">
        <v>19</v>
      </c>
      <c r="G33" s="52">
        <v>13.151999999999999</v>
      </c>
      <c r="H33" s="53">
        <v>12.885</v>
      </c>
      <c r="I33" s="54"/>
    </row>
    <row r="34" spans="1:9" ht="15.75" customHeight="1" x14ac:dyDescent="0.15">
      <c r="A34" s="81"/>
      <c r="B34" s="74" t="s">
        <v>17</v>
      </c>
      <c r="C34" s="75"/>
      <c r="D34" s="52">
        <v>6.7670000000000003</v>
      </c>
      <c r="E34" s="52">
        <v>83.26</v>
      </c>
      <c r="F34" s="52">
        <v>18</v>
      </c>
      <c r="G34" s="52">
        <v>13.276</v>
      </c>
      <c r="H34" s="53">
        <v>12.942</v>
      </c>
      <c r="I34" s="54"/>
    </row>
    <row r="35" spans="1:9" ht="15.75" customHeight="1" x14ac:dyDescent="0.15">
      <c r="A35" s="82"/>
      <c r="B35" s="83" t="s">
        <v>16</v>
      </c>
      <c r="C35" s="84"/>
      <c r="D35" s="56">
        <v>6.617</v>
      </c>
      <c r="E35" s="56">
        <v>81.299000000000007</v>
      </c>
      <c r="F35" s="56">
        <v>19</v>
      </c>
      <c r="G35" s="56">
        <v>13.243</v>
      </c>
      <c r="H35" s="59">
        <v>12.906000000000001</v>
      </c>
      <c r="I35" s="54"/>
    </row>
    <row r="36" spans="1:9" ht="15.75" customHeight="1" x14ac:dyDescent="0.15">
      <c r="A36" s="80">
        <v>5</v>
      </c>
      <c r="B36" s="74" t="s">
        <v>11</v>
      </c>
      <c r="C36" s="75"/>
      <c r="D36" s="52">
        <v>5.0830000000000002</v>
      </c>
      <c r="E36" s="52">
        <v>62.619</v>
      </c>
      <c r="F36" s="62"/>
      <c r="G36" s="52">
        <v>13.090999999999999</v>
      </c>
      <c r="H36" s="53">
        <v>12.707000000000001</v>
      </c>
      <c r="I36" s="54"/>
    </row>
    <row r="37" spans="1:9" ht="15.75" customHeight="1" x14ac:dyDescent="0.15">
      <c r="A37" s="81"/>
      <c r="B37" s="74" t="s">
        <v>8</v>
      </c>
      <c r="C37" s="75"/>
      <c r="D37" s="52">
        <v>6.6130000000000004</v>
      </c>
      <c r="E37" s="52">
        <v>81.938999999999993</v>
      </c>
      <c r="F37" s="52">
        <v>18</v>
      </c>
      <c r="G37" s="52">
        <v>13.313000000000001</v>
      </c>
      <c r="H37" s="53">
        <v>12.972</v>
      </c>
      <c r="I37" s="54"/>
    </row>
    <row r="38" spans="1:9" ht="15.75" customHeight="1" x14ac:dyDescent="0.15">
      <c r="A38" s="81"/>
      <c r="B38" s="74" t="s">
        <v>13</v>
      </c>
      <c r="C38" s="75"/>
      <c r="D38" s="52">
        <v>5.976</v>
      </c>
      <c r="E38" s="52">
        <v>73.655000000000001</v>
      </c>
      <c r="F38" s="52">
        <v>19</v>
      </c>
      <c r="G38" s="52">
        <v>13.118</v>
      </c>
      <c r="H38" s="53">
        <v>12.757</v>
      </c>
      <c r="I38" s="54"/>
    </row>
    <row r="39" spans="1:9" ht="15.75" customHeight="1" x14ac:dyDescent="0.15">
      <c r="A39" s="81"/>
      <c r="B39" s="74" t="s">
        <v>10</v>
      </c>
      <c r="C39" s="75"/>
      <c r="D39" s="52">
        <v>7.1020000000000003</v>
      </c>
      <c r="E39" s="52">
        <v>87.89</v>
      </c>
      <c r="F39" s="52">
        <v>18</v>
      </c>
      <c r="G39" s="52">
        <v>13.302</v>
      </c>
      <c r="H39" s="53">
        <v>12.993</v>
      </c>
      <c r="I39" s="54"/>
    </row>
    <row r="40" spans="1:9" ht="15.75" customHeight="1" x14ac:dyDescent="0.15">
      <c r="A40" s="81"/>
      <c r="B40" s="74" t="s">
        <v>9</v>
      </c>
      <c r="C40" s="75"/>
      <c r="D40" s="52">
        <v>6.78</v>
      </c>
      <c r="E40" s="52">
        <v>83.741</v>
      </c>
      <c r="F40" s="52">
        <v>18</v>
      </c>
      <c r="G40" s="52">
        <v>13.241</v>
      </c>
      <c r="H40" s="53">
        <v>12.898999999999999</v>
      </c>
      <c r="I40" s="54"/>
    </row>
    <row r="41" spans="1:9" ht="15.75" customHeight="1" x14ac:dyDescent="0.15">
      <c r="A41" s="81"/>
      <c r="B41" s="74" t="s">
        <v>14</v>
      </c>
      <c r="C41" s="75"/>
      <c r="D41" s="52">
        <v>5.9249999999999998</v>
      </c>
      <c r="E41" s="52">
        <v>72.731999999999999</v>
      </c>
      <c r="F41" s="52">
        <v>19</v>
      </c>
      <c r="G41" s="52">
        <v>13.086</v>
      </c>
      <c r="H41" s="53">
        <v>12.734</v>
      </c>
      <c r="I41" s="54"/>
    </row>
    <row r="42" spans="1:9" ht="15.75" customHeight="1" x14ac:dyDescent="0.15">
      <c r="A42" s="81"/>
      <c r="B42" s="74" t="s">
        <v>17</v>
      </c>
      <c r="C42" s="75"/>
      <c r="D42" s="52">
        <v>6.9059999999999997</v>
      </c>
      <c r="E42" s="52">
        <v>84.956999999999994</v>
      </c>
      <c r="F42" s="52">
        <v>20</v>
      </c>
      <c r="G42" s="52">
        <v>13.228</v>
      </c>
      <c r="H42" s="53">
        <v>12.840999999999999</v>
      </c>
      <c r="I42" s="54"/>
    </row>
    <row r="43" spans="1:9" ht="15.75" customHeight="1" x14ac:dyDescent="0.15">
      <c r="A43" s="82"/>
      <c r="B43" s="83" t="s">
        <v>16</v>
      </c>
      <c r="C43" s="84"/>
      <c r="D43" s="56">
        <v>7.15</v>
      </c>
      <c r="E43" s="56">
        <v>95.363</v>
      </c>
      <c r="F43" s="56">
        <v>16</v>
      </c>
      <c r="G43" s="56">
        <v>13.295</v>
      </c>
      <c r="H43" s="59">
        <v>12.989000000000001</v>
      </c>
      <c r="I43" s="54"/>
    </row>
    <row r="44" spans="1:9" ht="15.75" customHeight="1" x14ac:dyDescent="0.15">
      <c r="A44" s="80">
        <v>6</v>
      </c>
      <c r="B44" s="74" t="s">
        <v>11</v>
      </c>
      <c r="C44" s="75"/>
      <c r="D44" s="52">
        <v>5.7640000000000002</v>
      </c>
      <c r="E44" s="52">
        <v>69.954999999999998</v>
      </c>
      <c r="F44" s="52">
        <v>15</v>
      </c>
      <c r="G44" s="52">
        <v>13.090999999999999</v>
      </c>
      <c r="H44" s="53">
        <v>12.792999999999999</v>
      </c>
      <c r="I44" s="54"/>
    </row>
    <row r="45" spans="1:9" ht="15.75" customHeight="1" x14ac:dyDescent="0.15">
      <c r="A45" s="81"/>
      <c r="B45" s="74" t="s">
        <v>8</v>
      </c>
      <c r="C45" s="75"/>
      <c r="D45" s="52">
        <v>6.702</v>
      </c>
      <c r="E45" s="52">
        <v>82.814999999999998</v>
      </c>
      <c r="F45" s="52">
        <v>20</v>
      </c>
      <c r="G45" s="52">
        <v>13.151</v>
      </c>
      <c r="H45" s="53">
        <v>12.789</v>
      </c>
      <c r="I45" s="54"/>
    </row>
    <row r="46" spans="1:9" ht="15.75" customHeight="1" x14ac:dyDescent="0.15">
      <c r="A46" s="81"/>
      <c r="B46" s="74" t="s">
        <v>13</v>
      </c>
      <c r="C46" s="75"/>
      <c r="D46" s="52">
        <v>5.4349999999999996</v>
      </c>
      <c r="E46" s="52">
        <v>67.097999999999999</v>
      </c>
      <c r="F46" s="52">
        <v>20</v>
      </c>
      <c r="G46" s="52">
        <v>13.234999999999999</v>
      </c>
      <c r="H46" s="53">
        <v>12.875999999999999</v>
      </c>
      <c r="I46" s="54"/>
    </row>
    <row r="47" spans="1:9" ht="15.75" customHeight="1" x14ac:dyDescent="0.15">
      <c r="A47" s="81"/>
      <c r="B47" s="74" t="s">
        <v>10</v>
      </c>
      <c r="C47" s="75"/>
      <c r="D47" s="52">
        <v>7.0750000000000002</v>
      </c>
      <c r="E47" s="52">
        <v>87.159000000000006</v>
      </c>
      <c r="F47" s="52">
        <v>19</v>
      </c>
      <c r="G47" s="52">
        <v>13.205</v>
      </c>
      <c r="H47" s="53">
        <v>12.855</v>
      </c>
      <c r="I47" s="54"/>
    </row>
    <row r="48" spans="1:9" ht="15.75" customHeight="1" x14ac:dyDescent="0.15">
      <c r="A48" s="81"/>
      <c r="B48" s="74" t="s">
        <v>9</v>
      </c>
      <c r="C48" s="75"/>
      <c r="D48" s="52">
        <v>5.6849999999999996</v>
      </c>
      <c r="E48" s="52">
        <v>70.099999999999994</v>
      </c>
      <c r="F48" s="52">
        <v>15</v>
      </c>
      <c r="G48" s="52">
        <v>13.282</v>
      </c>
      <c r="H48" s="53">
        <v>12.996</v>
      </c>
      <c r="I48" s="54"/>
    </row>
    <row r="49" spans="1:9" ht="15.75" customHeight="1" x14ac:dyDescent="0.15">
      <c r="A49" s="81"/>
      <c r="B49" s="74" t="s">
        <v>14</v>
      </c>
      <c r="C49" s="75"/>
      <c r="D49" s="52">
        <v>5.56</v>
      </c>
      <c r="E49" s="52">
        <v>67.992999999999995</v>
      </c>
      <c r="F49" s="52">
        <v>17</v>
      </c>
      <c r="G49" s="52">
        <v>12.993</v>
      </c>
      <c r="H49" s="53">
        <v>12.686</v>
      </c>
      <c r="I49" s="54"/>
    </row>
    <row r="50" spans="1:9" ht="15.75" customHeight="1" x14ac:dyDescent="0.15">
      <c r="A50" s="81"/>
      <c r="B50" s="74" t="s">
        <v>17</v>
      </c>
      <c r="C50" s="75"/>
      <c r="D50" s="52">
        <v>7.6680000000000001</v>
      </c>
      <c r="E50" s="52">
        <v>94.296999999999997</v>
      </c>
      <c r="F50" s="52">
        <v>17</v>
      </c>
      <c r="G50" s="52">
        <v>13.173</v>
      </c>
      <c r="H50" s="53">
        <v>12.840999999999999</v>
      </c>
      <c r="I50" s="54"/>
    </row>
    <row r="51" spans="1:9" ht="15.75" customHeight="1" x14ac:dyDescent="0.15">
      <c r="A51" s="82"/>
      <c r="B51" s="83" t="s">
        <v>16</v>
      </c>
      <c r="C51" s="84"/>
      <c r="D51" s="56">
        <v>5.7839999999999998</v>
      </c>
      <c r="E51" s="56">
        <v>70.853999999999999</v>
      </c>
      <c r="F51" s="56">
        <v>18</v>
      </c>
      <c r="G51" s="56">
        <v>13.105</v>
      </c>
      <c r="H51" s="59">
        <v>12.773999999999999</v>
      </c>
      <c r="I51" s="54"/>
    </row>
    <row r="52" spans="1:9" ht="15.75" customHeight="1" x14ac:dyDescent="0.15">
      <c r="A52" s="80">
        <v>7</v>
      </c>
      <c r="B52" s="74" t="s">
        <v>11</v>
      </c>
      <c r="C52" s="75"/>
      <c r="D52" s="52"/>
      <c r="E52" s="52"/>
      <c r="F52" s="52"/>
      <c r="G52" s="52"/>
      <c r="H52" s="53"/>
      <c r="I52" s="54"/>
    </row>
    <row r="53" spans="1:9" ht="15.75" customHeight="1" x14ac:dyDescent="0.15">
      <c r="A53" s="81"/>
      <c r="B53" s="74" t="s">
        <v>8</v>
      </c>
      <c r="C53" s="75"/>
      <c r="D53" s="52"/>
      <c r="E53" s="52"/>
      <c r="F53" s="52"/>
      <c r="G53" s="52"/>
      <c r="H53" s="53"/>
      <c r="I53" s="54"/>
    </row>
    <row r="54" spans="1:9" ht="13" x14ac:dyDescent="0.15">
      <c r="A54" s="81"/>
      <c r="B54" s="74" t="s">
        <v>13</v>
      </c>
      <c r="C54" s="75"/>
      <c r="D54" s="52"/>
      <c r="E54" s="52"/>
      <c r="F54" s="52"/>
      <c r="G54" s="52"/>
      <c r="H54" s="53"/>
      <c r="I54" s="54"/>
    </row>
    <row r="55" spans="1:9" ht="13" x14ac:dyDescent="0.15">
      <c r="A55" s="81"/>
      <c r="B55" s="74" t="s">
        <v>10</v>
      </c>
      <c r="C55" s="75"/>
      <c r="D55" s="52"/>
      <c r="E55" s="52"/>
      <c r="F55" s="52"/>
      <c r="G55" s="52"/>
      <c r="H55" s="53"/>
      <c r="I55" s="54"/>
    </row>
    <row r="56" spans="1:9" ht="13" x14ac:dyDescent="0.15">
      <c r="A56" s="81"/>
      <c r="B56" s="74" t="s">
        <v>9</v>
      </c>
      <c r="C56" s="75"/>
      <c r="D56" s="52"/>
      <c r="E56" s="52"/>
      <c r="F56" s="52"/>
      <c r="G56" s="52"/>
      <c r="H56" s="53"/>
      <c r="I56" s="54"/>
    </row>
    <row r="57" spans="1:9" ht="13" x14ac:dyDescent="0.15">
      <c r="A57" s="81"/>
      <c r="B57" s="74" t="s">
        <v>14</v>
      </c>
      <c r="C57" s="75"/>
      <c r="D57" s="52"/>
      <c r="E57" s="52"/>
      <c r="F57" s="52"/>
      <c r="G57" s="52"/>
      <c r="H57" s="53"/>
      <c r="I57" s="54"/>
    </row>
    <row r="58" spans="1:9" ht="13" x14ac:dyDescent="0.15">
      <c r="A58" s="81"/>
      <c r="B58" s="74" t="s">
        <v>17</v>
      </c>
      <c r="C58" s="75"/>
      <c r="D58" s="52"/>
      <c r="E58" s="52"/>
      <c r="F58" s="52"/>
      <c r="G58" s="52"/>
      <c r="H58" s="53"/>
      <c r="I58" s="54"/>
    </row>
    <row r="59" spans="1:9" ht="13" x14ac:dyDescent="0.15">
      <c r="A59" s="82"/>
      <c r="B59" s="83" t="s">
        <v>16</v>
      </c>
      <c r="C59" s="84"/>
      <c r="D59" s="56"/>
      <c r="E59" s="56"/>
      <c r="F59" s="56"/>
      <c r="G59" s="56"/>
      <c r="H59" s="59"/>
      <c r="I59" s="54"/>
    </row>
  </sheetData>
  <mergeCells count="71">
    <mergeCell ref="B58:C58"/>
    <mergeCell ref="B59:C59"/>
    <mergeCell ref="B28:C28"/>
    <mergeCell ref="B29:C29"/>
    <mergeCell ref="B30:C30"/>
    <mergeCell ref="B31:C31"/>
    <mergeCell ref="B32:C32"/>
    <mergeCell ref="B33:C33"/>
    <mergeCell ref="B34:C34"/>
    <mergeCell ref="B53:C53"/>
    <mergeCell ref="B54:C54"/>
    <mergeCell ref="B55:C55"/>
    <mergeCell ref="B56:C56"/>
    <mergeCell ref="B57:C57"/>
    <mergeCell ref="A11:A18"/>
    <mergeCell ref="B11:C11"/>
    <mergeCell ref="B12:C12"/>
    <mergeCell ref="B13:C13"/>
    <mergeCell ref="B27:C27"/>
    <mergeCell ref="A20:A27"/>
    <mergeCell ref="A28:A35"/>
    <mergeCell ref="A36:A43"/>
    <mergeCell ref="A44:A51"/>
    <mergeCell ref="A52:A59"/>
    <mergeCell ref="B14:C14"/>
    <mergeCell ref="B20:C20"/>
    <mergeCell ref="B21:C21"/>
    <mergeCell ref="B22:C22"/>
    <mergeCell ref="B23:C23"/>
    <mergeCell ref="B51:C51"/>
    <mergeCell ref="B52:C52"/>
    <mergeCell ref="B44:C44"/>
    <mergeCell ref="B45:C45"/>
    <mergeCell ref="B46:C46"/>
    <mergeCell ref="B47:C47"/>
    <mergeCell ref="B48:C48"/>
    <mergeCell ref="B49:C49"/>
    <mergeCell ref="B50:C50"/>
    <mergeCell ref="B43:C43"/>
    <mergeCell ref="B35:C35"/>
    <mergeCell ref="B36:C36"/>
    <mergeCell ref="B37:C37"/>
    <mergeCell ref="B38:C38"/>
    <mergeCell ref="B39:C39"/>
    <mergeCell ref="B40:C40"/>
    <mergeCell ref="B41:C41"/>
    <mergeCell ref="B15:C15"/>
    <mergeCell ref="B16:C16"/>
    <mergeCell ref="B17:C17"/>
    <mergeCell ref="B18:C18"/>
    <mergeCell ref="B42:C42"/>
    <mergeCell ref="B24:C24"/>
    <mergeCell ref="B25:C25"/>
    <mergeCell ref="B26:C26"/>
    <mergeCell ref="B7:C7"/>
    <mergeCell ref="B8:C8"/>
    <mergeCell ref="B1:C1"/>
    <mergeCell ref="I1:J1"/>
    <mergeCell ref="A2:A10"/>
    <mergeCell ref="B2:C2"/>
    <mergeCell ref="B3:C3"/>
    <mergeCell ref="B4:C4"/>
    <mergeCell ref="B5:C5"/>
    <mergeCell ref="B9:C9"/>
    <mergeCell ref="B10:C10"/>
    <mergeCell ref="I3:J3"/>
    <mergeCell ref="I4:J4"/>
    <mergeCell ref="I2:J2"/>
    <mergeCell ref="I5:J5"/>
    <mergeCell ref="B6:C6"/>
    <mergeCell ref="I6:J6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Battery Test Results</vt:lpstr>
      <vt:lpstr>New Batteries</vt:lpstr>
      <vt:lpstr>Old Batteries</vt:lpstr>
      <vt:lpstr>Metadata</vt:lpstr>
      <vt:lpstr>Battery Comparisons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Niemi, Jarad [STAT]</cp:lastModifiedBy>
  <dcterms:created xsi:type="dcterms:W3CDTF">2026-03-03T22:50:57Z</dcterms:created>
  <dcterms:modified xsi:type="dcterms:W3CDTF">2026-03-03T22:50:57Z</dcterms:modified>
</cp:coreProperties>
</file>